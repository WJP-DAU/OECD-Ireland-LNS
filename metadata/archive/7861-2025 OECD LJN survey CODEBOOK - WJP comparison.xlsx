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https://wjproject.sharepoint.com/research/Programmatic/Data Analytics/6. Country Reports/OECD-Ireland-LNS/metadata/"/>
    </mc:Choice>
  </mc:AlternateContent>
  <xr:revisionPtr revIDLastSave="360" documentId="8_{042E2C68-87CD-4E84-A457-0E5E983EC274}" xr6:coauthVersionLast="47" xr6:coauthVersionMax="47" xr10:uidLastSave="{D27E188F-E48B-48BA-8D64-89E7177876DE}"/>
  <bookViews>
    <workbookView xWindow="-120" yWindow="-120" windowWidth="29040" windowHeight="15720" xr2:uid="{00000000-000D-0000-FFFF-FFFF00000000}"/>
  </bookViews>
  <sheets>
    <sheet name="Variable Information" sheetId="1" r:id="rId1"/>
    <sheet name="Variable Valu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2" l="1"/>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2337" i="2"/>
  <c r="B2338" i="2"/>
  <c r="B2339" i="2"/>
  <c r="B2340" i="2"/>
  <c r="B2341" i="2"/>
  <c r="B2342" i="2"/>
  <c r="B2343" i="2"/>
  <c r="B2344" i="2"/>
  <c r="B2345" i="2"/>
  <c r="B2346" i="2"/>
  <c r="B2347" i="2"/>
  <c r="B2348" i="2"/>
  <c r="B2349" i="2"/>
  <c r="B2350" i="2"/>
  <c r="B2351" i="2"/>
  <c r="B2352" i="2"/>
  <c r="B2353" i="2"/>
  <c r="B2354" i="2"/>
  <c r="B2355" i="2"/>
  <c r="B2356" i="2"/>
  <c r="B2357" i="2"/>
  <c r="B2358" i="2"/>
  <c r="B2359" i="2"/>
  <c r="B2360" i="2"/>
  <c r="B2361" i="2"/>
  <c r="B2362" i="2"/>
  <c r="B2363" i="2"/>
  <c r="B2364" i="2"/>
  <c r="B2365" i="2"/>
  <c r="B2366" i="2"/>
  <c r="B2367" i="2"/>
  <c r="B2368" i="2"/>
  <c r="B2369" i="2"/>
  <c r="B2370" i="2"/>
  <c r="B2371" i="2"/>
  <c r="B2372" i="2"/>
  <c r="B2373" i="2"/>
  <c r="B2374" i="2"/>
  <c r="B2375" i="2"/>
  <c r="B2376" i="2"/>
  <c r="B2377" i="2"/>
  <c r="B2378" i="2"/>
  <c r="B2379" i="2"/>
  <c r="B2380" i="2"/>
  <c r="B2381" i="2"/>
  <c r="B2382" i="2"/>
  <c r="B2383" i="2"/>
  <c r="B2384" i="2"/>
  <c r="B2385" i="2"/>
  <c r="B2386" i="2"/>
  <c r="B2387" i="2"/>
  <c r="B2388" i="2"/>
  <c r="B2389" i="2"/>
  <c r="B2390" i="2"/>
  <c r="B2391" i="2"/>
  <c r="B2392" i="2"/>
  <c r="B2393" i="2"/>
  <c r="B2394" i="2"/>
  <c r="B2395" i="2"/>
  <c r="B2396" i="2"/>
  <c r="B2397" i="2"/>
  <c r="B2398" i="2"/>
  <c r="B2399" i="2"/>
  <c r="B2400" i="2"/>
  <c r="B2401" i="2"/>
  <c r="B2402" i="2"/>
  <c r="B2403" i="2"/>
  <c r="B2404" i="2"/>
  <c r="B2405" i="2"/>
  <c r="B2406" i="2"/>
  <c r="B2407" i="2"/>
  <c r="B2408" i="2"/>
  <c r="B2409" i="2"/>
  <c r="B2410" i="2"/>
  <c r="B2411" i="2"/>
  <c r="B2412" i="2"/>
  <c r="B2413" i="2"/>
  <c r="B2414" i="2"/>
  <c r="B2415" i="2"/>
  <c r="B2416" i="2"/>
  <c r="B2417" i="2"/>
  <c r="B2418" i="2"/>
  <c r="B2419" i="2"/>
  <c r="B2420" i="2"/>
  <c r="B2421" i="2"/>
  <c r="B2422" i="2"/>
  <c r="B2423" i="2"/>
  <c r="B2424" i="2"/>
  <c r="B2425" i="2"/>
  <c r="B2426" i="2"/>
  <c r="B2427" i="2"/>
  <c r="B2428" i="2"/>
  <c r="B2429" i="2"/>
  <c r="B2430" i="2"/>
  <c r="B2431" i="2"/>
  <c r="B2432" i="2"/>
  <c r="B2433" i="2"/>
  <c r="B2434" i="2"/>
  <c r="B2435" i="2"/>
  <c r="B2436" i="2"/>
  <c r="B2437" i="2"/>
  <c r="B2438" i="2"/>
  <c r="B2439" i="2"/>
  <c r="B2440" i="2"/>
  <c r="B2441" i="2"/>
  <c r="B2442" i="2"/>
  <c r="B2443" i="2"/>
  <c r="B2444" i="2"/>
  <c r="B2445" i="2"/>
  <c r="B2446" i="2"/>
  <c r="B2447" i="2"/>
  <c r="B2448" i="2"/>
  <c r="B2449" i="2"/>
  <c r="B2450" i="2"/>
  <c r="B2451" i="2"/>
  <c r="B2452" i="2"/>
  <c r="B2453" i="2"/>
  <c r="B2454" i="2"/>
  <c r="B2455" i="2"/>
  <c r="B2456" i="2"/>
  <c r="B2457" i="2"/>
  <c r="B2458" i="2"/>
  <c r="B2459" i="2"/>
  <c r="B2460" i="2"/>
  <c r="B2461" i="2"/>
  <c r="B2462" i="2"/>
  <c r="B2463" i="2"/>
  <c r="B2464" i="2"/>
  <c r="B2465" i="2"/>
  <c r="B2466" i="2"/>
  <c r="B2467" i="2"/>
  <c r="B2468" i="2"/>
  <c r="B2469" i="2"/>
  <c r="B2470" i="2"/>
  <c r="B2471" i="2"/>
  <c r="B2472" i="2"/>
  <c r="B2473" i="2"/>
  <c r="B2474" i="2"/>
  <c r="B2475" i="2"/>
  <c r="B2476" i="2"/>
  <c r="B2477" i="2"/>
  <c r="B2478" i="2"/>
  <c r="B2479" i="2"/>
  <c r="B2480" i="2"/>
  <c r="B2481" i="2"/>
  <c r="B2482" i="2"/>
  <c r="B2483" i="2"/>
  <c r="B2484" i="2"/>
  <c r="B2485" i="2"/>
  <c r="B2486" i="2"/>
  <c r="B2487" i="2"/>
  <c r="B2488" i="2"/>
  <c r="B2489" i="2"/>
  <c r="B2490" i="2"/>
  <c r="B2491" i="2"/>
  <c r="B2492" i="2"/>
  <c r="B2493" i="2"/>
  <c r="B2494" i="2"/>
  <c r="B2495" i="2"/>
  <c r="B2496" i="2"/>
  <c r="B2497" i="2"/>
  <c r="B2498" i="2"/>
  <c r="B2499" i="2"/>
  <c r="B2500" i="2"/>
  <c r="B2501" i="2"/>
  <c r="B2502" i="2"/>
  <c r="B2503" i="2"/>
  <c r="B2504" i="2"/>
  <c r="B2505" i="2"/>
  <c r="B2506" i="2"/>
  <c r="B2507" i="2"/>
  <c r="B2508" i="2"/>
  <c r="B2509" i="2"/>
  <c r="B2510" i="2"/>
  <c r="B2511" i="2"/>
  <c r="B2512" i="2"/>
  <c r="B2513" i="2"/>
  <c r="B2514" i="2"/>
  <c r="B2515" i="2"/>
  <c r="B2516" i="2"/>
  <c r="B2517" i="2"/>
  <c r="B2518" i="2"/>
  <c r="B2519" i="2"/>
  <c r="B2520" i="2"/>
  <c r="B2521" i="2"/>
  <c r="B2522" i="2"/>
  <c r="B2523" i="2"/>
  <c r="B2524" i="2"/>
  <c r="B2525" i="2"/>
  <c r="B2526" i="2"/>
  <c r="B2527" i="2"/>
  <c r="B2528" i="2"/>
  <c r="B2529" i="2"/>
  <c r="B2530" i="2"/>
  <c r="B2531" i="2"/>
  <c r="B2532" i="2"/>
  <c r="B2533" i="2"/>
  <c r="B2534" i="2"/>
  <c r="B2535" i="2"/>
  <c r="B2536" i="2"/>
  <c r="B2537" i="2"/>
  <c r="B2"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A523" i="2"/>
  <c r="A524" i="2"/>
  <c r="A525" i="2"/>
  <c r="A526" i="2"/>
  <c r="A527" i="2"/>
  <c r="A528" i="2"/>
  <c r="A529" i="2"/>
  <c r="A530" i="2"/>
  <c r="A531" i="2"/>
  <c r="A532" i="2"/>
  <c r="A533" i="2"/>
  <c r="A534" i="2"/>
  <c r="A535" i="2"/>
  <c r="A536" i="2"/>
  <c r="A537" i="2"/>
  <c r="A538" i="2"/>
  <c r="A539" i="2"/>
  <c r="A540" i="2"/>
  <c r="A541" i="2"/>
  <c r="A542" i="2"/>
  <c r="A543" i="2"/>
  <c r="A544" i="2"/>
  <c r="A545" i="2"/>
  <c r="A546" i="2"/>
  <c r="A547" i="2"/>
  <c r="A548" i="2"/>
  <c r="A549" i="2"/>
  <c r="A550" i="2"/>
  <c r="A551" i="2"/>
  <c r="A552" i="2"/>
  <c r="A553" i="2"/>
  <c r="A554" i="2"/>
  <c r="A555" i="2"/>
  <c r="A556" i="2"/>
  <c r="A557" i="2"/>
  <c r="A558" i="2"/>
  <c r="A559" i="2"/>
  <c r="A560" i="2"/>
  <c r="A561" i="2"/>
  <c r="A562" i="2"/>
  <c r="A563" i="2"/>
  <c r="A564" i="2"/>
  <c r="A565" i="2"/>
  <c r="A566" i="2"/>
  <c r="A567" i="2"/>
  <c r="A568" i="2"/>
  <c r="A569" i="2"/>
  <c r="A570" i="2"/>
  <c r="A571" i="2"/>
  <c r="A572" i="2"/>
  <c r="A573" i="2"/>
  <c r="A574" i="2"/>
  <c r="A575" i="2"/>
  <c r="A576" i="2"/>
  <c r="A577" i="2"/>
  <c r="A578" i="2"/>
  <c r="A579" i="2"/>
  <c r="A580" i="2"/>
  <c r="A581" i="2"/>
  <c r="A582" i="2"/>
  <c r="A583" i="2"/>
  <c r="A584" i="2"/>
  <c r="A585" i="2"/>
  <c r="A586" i="2"/>
  <c r="A587" i="2"/>
  <c r="A588" i="2"/>
  <c r="A589" i="2"/>
  <c r="A590" i="2"/>
  <c r="A591" i="2"/>
  <c r="A592" i="2"/>
  <c r="A593" i="2"/>
  <c r="A594" i="2"/>
  <c r="A595" i="2"/>
  <c r="A596" i="2"/>
  <c r="A597" i="2"/>
  <c r="A598" i="2"/>
  <c r="A599" i="2"/>
  <c r="A600" i="2"/>
  <c r="A601" i="2"/>
  <c r="A602" i="2"/>
  <c r="A603" i="2"/>
  <c r="A604" i="2"/>
  <c r="A605" i="2"/>
  <c r="A606" i="2"/>
  <c r="A607" i="2"/>
  <c r="A608" i="2"/>
  <c r="A609" i="2"/>
  <c r="A610" i="2"/>
  <c r="A611" i="2"/>
  <c r="A612" i="2"/>
  <c r="A613" i="2"/>
  <c r="A614" i="2"/>
  <c r="A615" i="2"/>
  <c r="A616" i="2"/>
  <c r="A617" i="2"/>
  <c r="A618" i="2"/>
  <c r="A619" i="2"/>
  <c r="A620" i="2"/>
  <c r="A621" i="2"/>
  <c r="A622" i="2"/>
  <c r="A623" i="2"/>
  <c r="A624" i="2"/>
  <c r="A625" i="2"/>
  <c r="A626" i="2"/>
  <c r="A627" i="2"/>
  <c r="A628" i="2"/>
  <c r="A629" i="2"/>
  <c r="A630" i="2"/>
  <c r="A631" i="2"/>
  <c r="A632" i="2"/>
  <c r="A633" i="2"/>
  <c r="A634" i="2"/>
  <c r="A635" i="2"/>
  <c r="A636" i="2"/>
  <c r="A637" i="2"/>
  <c r="A638" i="2"/>
  <c r="A639" i="2"/>
  <c r="A640" i="2"/>
  <c r="A641" i="2"/>
  <c r="A642" i="2"/>
  <c r="A643" i="2"/>
  <c r="A644" i="2"/>
  <c r="A645" i="2"/>
  <c r="A646" i="2"/>
  <c r="A647" i="2"/>
  <c r="A648" i="2"/>
  <c r="A649" i="2"/>
  <c r="A650" i="2"/>
  <c r="A651" i="2"/>
  <c r="A652" i="2"/>
  <c r="A653" i="2"/>
  <c r="A654" i="2"/>
  <c r="A655" i="2"/>
  <c r="A656" i="2"/>
  <c r="A657" i="2"/>
  <c r="A658" i="2"/>
  <c r="A659" i="2"/>
  <c r="A660" i="2"/>
  <c r="A661" i="2"/>
  <c r="A662" i="2"/>
  <c r="A663" i="2"/>
  <c r="A664" i="2"/>
  <c r="A665" i="2"/>
  <c r="A666" i="2"/>
  <c r="A667" i="2"/>
  <c r="A668" i="2"/>
  <c r="A669" i="2"/>
  <c r="A670" i="2"/>
  <c r="A671" i="2"/>
  <c r="A672" i="2"/>
  <c r="A673" i="2"/>
  <c r="A674" i="2"/>
  <c r="A675" i="2"/>
  <c r="A676" i="2"/>
  <c r="A677" i="2"/>
  <c r="A678" i="2"/>
  <c r="A679" i="2"/>
  <c r="A680" i="2"/>
  <c r="A681" i="2"/>
  <c r="A682" i="2"/>
  <c r="A683" i="2"/>
  <c r="A684" i="2"/>
  <c r="A685" i="2"/>
  <c r="A686" i="2"/>
  <c r="A687" i="2"/>
  <c r="A688" i="2"/>
  <c r="A689" i="2"/>
  <c r="A690" i="2"/>
  <c r="A691" i="2"/>
  <c r="A692" i="2"/>
  <c r="A693" i="2"/>
  <c r="A694" i="2"/>
  <c r="A695" i="2"/>
  <c r="A696" i="2"/>
  <c r="A697" i="2"/>
  <c r="A698" i="2"/>
  <c r="A699" i="2"/>
  <c r="A700" i="2"/>
  <c r="A701" i="2"/>
  <c r="A702" i="2"/>
  <c r="A703" i="2"/>
  <c r="A704" i="2"/>
  <c r="A705" i="2"/>
  <c r="A706" i="2"/>
  <c r="A707" i="2"/>
  <c r="A708" i="2"/>
  <c r="A709" i="2"/>
  <c r="A710" i="2"/>
  <c r="A711" i="2"/>
  <c r="A712" i="2"/>
  <c r="A713" i="2"/>
  <c r="A714" i="2"/>
  <c r="A715" i="2"/>
  <c r="A716" i="2"/>
  <c r="A717" i="2"/>
  <c r="A718" i="2"/>
  <c r="A719" i="2"/>
  <c r="A720" i="2"/>
  <c r="A721" i="2"/>
  <c r="A722" i="2"/>
  <c r="A723" i="2"/>
  <c r="A724" i="2"/>
  <c r="A725" i="2"/>
  <c r="A726" i="2"/>
  <c r="A727" i="2"/>
  <c r="A728" i="2"/>
  <c r="A729" i="2"/>
  <c r="A730" i="2"/>
  <c r="A731" i="2"/>
  <c r="A732" i="2"/>
  <c r="A733" i="2"/>
  <c r="A734" i="2"/>
  <c r="A735" i="2"/>
  <c r="A736" i="2"/>
  <c r="A737" i="2"/>
  <c r="A738" i="2"/>
  <c r="A739" i="2"/>
  <c r="A740" i="2"/>
  <c r="A741" i="2"/>
  <c r="A742" i="2"/>
  <c r="A743" i="2"/>
  <c r="A744" i="2"/>
  <c r="A745" i="2"/>
  <c r="A746" i="2"/>
  <c r="A747" i="2"/>
  <c r="A748" i="2"/>
  <c r="A749" i="2"/>
  <c r="A750" i="2"/>
  <c r="A751" i="2"/>
  <c r="A752" i="2"/>
  <c r="A753" i="2"/>
  <c r="A754" i="2"/>
  <c r="A755" i="2"/>
  <c r="A756" i="2"/>
  <c r="A757" i="2"/>
  <c r="A758" i="2"/>
  <c r="A759" i="2"/>
  <c r="A760" i="2"/>
  <c r="A761" i="2"/>
  <c r="A762" i="2"/>
  <c r="A763" i="2"/>
  <c r="A764" i="2"/>
  <c r="A765" i="2"/>
  <c r="A766" i="2"/>
  <c r="A767" i="2"/>
  <c r="A768" i="2"/>
  <c r="A769" i="2"/>
  <c r="A770" i="2"/>
  <c r="A771" i="2"/>
  <c r="A772" i="2"/>
  <c r="A773" i="2"/>
  <c r="A774" i="2"/>
  <c r="A775" i="2"/>
  <c r="A776" i="2"/>
  <c r="A777" i="2"/>
  <c r="A778" i="2"/>
  <c r="A779" i="2"/>
  <c r="A780" i="2"/>
  <c r="A781" i="2"/>
  <c r="A782" i="2"/>
  <c r="A783" i="2"/>
  <c r="A784" i="2"/>
  <c r="A785" i="2"/>
  <c r="A786" i="2"/>
  <c r="A787" i="2"/>
  <c r="A788" i="2"/>
  <c r="A789" i="2"/>
  <c r="A790" i="2"/>
  <c r="A791" i="2"/>
  <c r="A792" i="2"/>
  <c r="A793" i="2"/>
  <c r="A794" i="2"/>
  <c r="A795" i="2"/>
  <c r="A796" i="2"/>
  <c r="A797" i="2"/>
  <c r="A798" i="2"/>
  <c r="A799" i="2"/>
  <c r="A800" i="2"/>
  <c r="A801" i="2"/>
  <c r="A802" i="2"/>
  <c r="A803" i="2"/>
  <c r="A804" i="2"/>
  <c r="A805" i="2"/>
  <c r="A806" i="2"/>
  <c r="A807" i="2"/>
  <c r="A808" i="2"/>
  <c r="A809" i="2"/>
  <c r="A810" i="2"/>
  <c r="A811" i="2"/>
  <c r="A812" i="2"/>
  <c r="A813" i="2"/>
  <c r="A814" i="2"/>
  <c r="A815" i="2"/>
  <c r="A816" i="2"/>
  <c r="A817" i="2"/>
  <c r="A818" i="2"/>
  <c r="A819" i="2"/>
  <c r="A820" i="2"/>
  <c r="A821" i="2"/>
  <c r="A822" i="2"/>
  <c r="A823" i="2"/>
  <c r="A824" i="2"/>
  <c r="A825" i="2"/>
  <c r="A826" i="2"/>
  <c r="A827" i="2"/>
  <c r="A828" i="2"/>
  <c r="A829" i="2"/>
  <c r="A830" i="2"/>
  <c r="A831" i="2"/>
  <c r="A832" i="2"/>
  <c r="A833" i="2"/>
  <c r="A834" i="2"/>
  <c r="A835" i="2"/>
  <c r="A836" i="2"/>
  <c r="A837" i="2"/>
  <c r="A838" i="2"/>
  <c r="A839" i="2"/>
  <c r="A840" i="2"/>
  <c r="A841" i="2"/>
  <c r="A842" i="2"/>
  <c r="A843" i="2"/>
  <c r="A844" i="2"/>
  <c r="A845" i="2"/>
  <c r="A846" i="2"/>
  <c r="A847" i="2"/>
  <c r="A848" i="2"/>
  <c r="A849" i="2"/>
  <c r="A850" i="2"/>
  <c r="A851" i="2"/>
  <c r="A852" i="2"/>
  <c r="A853" i="2"/>
  <c r="A854" i="2"/>
  <c r="A855" i="2"/>
  <c r="A856" i="2"/>
  <c r="A857" i="2"/>
  <c r="A858" i="2"/>
  <c r="A859" i="2"/>
  <c r="A860" i="2"/>
  <c r="A861" i="2"/>
  <c r="A862" i="2"/>
  <c r="A863" i="2"/>
  <c r="A864" i="2"/>
  <c r="A865" i="2"/>
  <c r="A866" i="2"/>
  <c r="A867" i="2"/>
  <c r="A868" i="2"/>
  <c r="A869" i="2"/>
  <c r="A870" i="2"/>
  <c r="A871" i="2"/>
  <c r="A872" i="2"/>
  <c r="A873" i="2"/>
  <c r="A874" i="2"/>
  <c r="A875" i="2"/>
  <c r="A876" i="2"/>
  <c r="A877" i="2"/>
  <c r="A878" i="2"/>
  <c r="A879" i="2"/>
  <c r="A880" i="2"/>
  <c r="A881" i="2"/>
  <c r="A882" i="2"/>
  <c r="A883" i="2"/>
  <c r="A884" i="2"/>
  <c r="A885" i="2"/>
  <c r="A886" i="2"/>
  <c r="A887" i="2"/>
  <c r="A888" i="2"/>
  <c r="A889" i="2"/>
  <c r="A890" i="2"/>
  <c r="A891" i="2"/>
  <c r="A892" i="2"/>
  <c r="A893" i="2"/>
  <c r="A894" i="2"/>
  <c r="A895" i="2"/>
  <c r="A896" i="2"/>
  <c r="A897" i="2"/>
  <c r="A898" i="2"/>
  <c r="A899" i="2"/>
  <c r="A900" i="2"/>
  <c r="A901" i="2"/>
  <c r="A902" i="2"/>
  <c r="A903" i="2"/>
  <c r="A904" i="2"/>
  <c r="A905" i="2"/>
  <c r="A906" i="2"/>
  <c r="A907" i="2"/>
  <c r="A908" i="2"/>
  <c r="A909" i="2"/>
  <c r="A910" i="2"/>
  <c r="A911" i="2"/>
  <c r="A912" i="2"/>
  <c r="A913" i="2"/>
  <c r="A914" i="2"/>
  <c r="A915" i="2"/>
  <c r="A916" i="2"/>
  <c r="A917" i="2"/>
  <c r="A918" i="2"/>
  <c r="A919" i="2"/>
  <c r="A920" i="2"/>
  <c r="A921" i="2"/>
  <c r="A922" i="2"/>
  <c r="A923" i="2"/>
  <c r="A924" i="2"/>
  <c r="A925" i="2"/>
  <c r="A926" i="2"/>
  <c r="A927" i="2"/>
  <c r="A928" i="2"/>
  <c r="A929" i="2"/>
  <c r="A930" i="2"/>
  <c r="A931" i="2"/>
  <c r="A932" i="2"/>
  <c r="A933" i="2"/>
  <c r="A934" i="2"/>
  <c r="A935" i="2"/>
  <c r="A936" i="2"/>
  <c r="A937" i="2"/>
  <c r="A938" i="2"/>
  <c r="A939" i="2"/>
  <c r="A940" i="2"/>
  <c r="A941" i="2"/>
  <c r="A942" i="2"/>
  <c r="A943" i="2"/>
  <c r="A944" i="2"/>
  <c r="A945" i="2"/>
  <c r="A946" i="2"/>
  <c r="A947" i="2"/>
  <c r="A948" i="2"/>
  <c r="A949" i="2"/>
  <c r="A950" i="2"/>
  <c r="A951" i="2"/>
  <c r="A952" i="2"/>
  <c r="A953" i="2"/>
  <c r="A954" i="2"/>
  <c r="A955" i="2"/>
  <c r="A956" i="2"/>
  <c r="A957" i="2"/>
  <c r="A958" i="2"/>
  <c r="A959" i="2"/>
  <c r="A960" i="2"/>
  <c r="A961" i="2"/>
  <c r="A962" i="2"/>
  <c r="A963" i="2"/>
  <c r="A964" i="2"/>
  <c r="A965" i="2"/>
  <c r="A966" i="2"/>
  <c r="A967" i="2"/>
  <c r="A968" i="2"/>
  <c r="A969" i="2"/>
  <c r="A970" i="2"/>
  <c r="A971" i="2"/>
  <c r="A972" i="2"/>
  <c r="A973" i="2"/>
  <c r="A974" i="2"/>
  <c r="A975" i="2"/>
  <c r="A976" i="2"/>
  <c r="A977" i="2"/>
  <c r="A978" i="2"/>
  <c r="A979" i="2"/>
  <c r="A980" i="2"/>
  <c r="A981" i="2"/>
  <c r="A982" i="2"/>
  <c r="A983" i="2"/>
  <c r="A984" i="2"/>
  <c r="A985" i="2"/>
  <c r="A986" i="2"/>
  <c r="A987" i="2"/>
  <c r="A988" i="2"/>
  <c r="A989" i="2"/>
  <c r="A990" i="2"/>
  <c r="A991" i="2"/>
  <c r="A992" i="2"/>
  <c r="A993" i="2"/>
  <c r="A994" i="2"/>
  <c r="A995" i="2"/>
  <c r="A996" i="2"/>
  <c r="A997" i="2"/>
  <c r="A998" i="2"/>
  <c r="A999" i="2"/>
  <c r="A1000" i="2"/>
  <c r="A1001" i="2"/>
  <c r="A1002" i="2"/>
  <c r="A1003" i="2"/>
  <c r="A1004" i="2"/>
  <c r="A1005" i="2"/>
  <c r="A1006" i="2"/>
  <c r="A1007" i="2"/>
  <c r="A1008" i="2"/>
  <c r="A1009" i="2"/>
  <c r="A1010" i="2"/>
  <c r="A1011" i="2"/>
  <c r="A1012" i="2"/>
  <c r="A1013" i="2"/>
  <c r="A1014" i="2"/>
  <c r="A1015" i="2"/>
  <c r="A1016" i="2"/>
  <c r="A1017" i="2"/>
  <c r="A1018" i="2"/>
  <c r="A1019" i="2"/>
  <c r="A1020" i="2"/>
  <c r="A1021" i="2"/>
  <c r="A1022" i="2"/>
  <c r="A1023" i="2"/>
  <c r="A1024" i="2"/>
  <c r="A1025" i="2"/>
  <c r="A1026" i="2"/>
  <c r="A1027" i="2"/>
  <c r="A1028" i="2"/>
  <c r="A1029" i="2"/>
  <c r="A1030" i="2"/>
  <c r="A1031" i="2"/>
  <c r="A1032" i="2"/>
  <c r="A1033" i="2"/>
  <c r="A1034" i="2"/>
  <c r="A1035" i="2"/>
  <c r="A1036" i="2"/>
  <c r="A1037" i="2"/>
  <c r="A1038" i="2"/>
  <c r="A1039" i="2"/>
  <c r="A1040" i="2"/>
  <c r="A1041" i="2"/>
  <c r="A1042" i="2"/>
  <c r="A1043" i="2"/>
  <c r="A1044" i="2"/>
  <c r="A1045" i="2"/>
  <c r="A1046" i="2"/>
  <c r="A1047" i="2"/>
  <c r="A1048" i="2"/>
  <c r="A1049" i="2"/>
  <c r="A1050" i="2"/>
  <c r="A1051" i="2"/>
  <c r="A1052" i="2"/>
  <c r="A1053" i="2"/>
  <c r="A1054" i="2"/>
  <c r="A1055" i="2"/>
  <c r="A1056" i="2"/>
  <c r="A1057" i="2"/>
  <c r="A1058" i="2"/>
  <c r="A1059" i="2"/>
  <c r="A1060" i="2"/>
  <c r="A1061" i="2"/>
  <c r="A1062" i="2"/>
  <c r="A1063" i="2"/>
  <c r="A1064" i="2"/>
  <c r="A1065" i="2"/>
  <c r="A1066" i="2"/>
  <c r="A1067" i="2"/>
  <c r="A1068" i="2"/>
  <c r="A1069" i="2"/>
  <c r="A1070" i="2"/>
  <c r="A1071" i="2"/>
  <c r="A1072" i="2"/>
  <c r="A1073" i="2"/>
  <c r="A1074" i="2"/>
  <c r="A1075" i="2"/>
  <c r="A1076" i="2"/>
  <c r="A1077" i="2"/>
  <c r="A1078" i="2"/>
  <c r="A1079" i="2"/>
  <c r="A1080" i="2"/>
  <c r="A1081" i="2"/>
  <c r="A1082" i="2"/>
  <c r="A1083" i="2"/>
  <c r="A1084" i="2"/>
  <c r="A1085" i="2"/>
  <c r="A1086" i="2"/>
  <c r="A1087" i="2"/>
  <c r="A1088" i="2"/>
  <c r="A1089" i="2"/>
  <c r="A1090" i="2"/>
  <c r="A1091" i="2"/>
  <c r="A1092" i="2"/>
  <c r="A1093" i="2"/>
  <c r="A1094" i="2"/>
  <c r="A1095" i="2"/>
  <c r="A1096" i="2"/>
  <c r="A1097" i="2"/>
  <c r="A1098" i="2"/>
  <c r="A1099" i="2"/>
  <c r="A1100" i="2"/>
  <c r="A1101" i="2"/>
  <c r="A1102" i="2"/>
  <c r="A1103" i="2"/>
  <c r="A1104" i="2"/>
  <c r="A1105" i="2"/>
  <c r="A1106" i="2"/>
  <c r="A1107" i="2"/>
  <c r="A1108" i="2"/>
  <c r="A1109" i="2"/>
  <c r="A1110" i="2"/>
  <c r="A1111" i="2"/>
  <c r="A1112" i="2"/>
  <c r="A1113" i="2"/>
  <c r="A1114" i="2"/>
  <c r="A1115" i="2"/>
  <c r="A1116" i="2"/>
  <c r="A1117" i="2"/>
  <c r="A1118" i="2"/>
  <c r="A1119" i="2"/>
  <c r="A1120" i="2"/>
  <c r="A1121" i="2"/>
  <c r="A1122" i="2"/>
  <c r="A1123" i="2"/>
  <c r="A1124" i="2"/>
  <c r="A1125" i="2"/>
  <c r="A1126" i="2"/>
  <c r="A1127" i="2"/>
  <c r="A1128" i="2"/>
  <c r="A1129" i="2"/>
  <c r="A1130" i="2"/>
  <c r="A1131" i="2"/>
  <c r="A1132" i="2"/>
  <c r="A1133" i="2"/>
  <c r="A1134" i="2"/>
  <c r="A1135" i="2"/>
  <c r="A1136" i="2"/>
  <c r="A1137" i="2"/>
  <c r="A1138" i="2"/>
  <c r="A1139" i="2"/>
  <c r="A1140" i="2"/>
  <c r="A1141" i="2"/>
  <c r="A1142" i="2"/>
  <c r="A1143" i="2"/>
  <c r="A1144" i="2"/>
  <c r="A1145" i="2"/>
  <c r="A1146" i="2"/>
  <c r="A1147" i="2"/>
  <c r="A1148" i="2"/>
  <c r="A1149" i="2"/>
  <c r="A1150" i="2"/>
  <c r="A1151" i="2"/>
  <c r="A1152" i="2"/>
  <c r="A1153" i="2"/>
  <c r="A1154" i="2"/>
  <c r="A1155" i="2"/>
  <c r="A1156" i="2"/>
  <c r="A1157" i="2"/>
  <c r="A1158" i="2"/>
  <c r="A1159" i="2"/>
  <c r="A1160" i="2"/>
  <c r="A1161" i="2"/>
  <c r="A1162" i="2"/>
  <c r="A1163" i="2"/>
  <c r="A1164" i="2"/>
  <c r="A1165" i="2"/>
  <c r="A1166" i="2"/>
  <c r="A1167" i="2"/>
  <c r="A1168" i="2"/>
  <c r="A1169" i="2"/>
  <c r="A1170" i="2"/>
  <c r="A1171" i="2"/>
  <c r="A1172" i="2"/>
  <c r="A1173" i="2"/>
  <c r="A1174" i="2"/>
  <c r="A1175" i="2"/>
  <c r="A1176" i="2"/>
  <c r="A1177" i="2"/>
  <c r="A1178" i="2"/>
  <c r="A1179" i="2"/>
  <c r="A1180" i="2"/>
  <c r="A1181" i="2"/>
  <c r="A1182" i="2"/>
  <c r="A1183" i="2"/>
  <c r="A1184" i="2"/>
  <c r="A1185" i="2"/>
  <c r="A1186" i="2"/>
  <c r="A1187" i="2"/>
  <c r="A1188" i="2"/>
  <c r="A1189" i="2"/>
  <c r="A1190" i="2"/>
  <c r="A1191" i="2"/>
  <c r="A1192" i="2"/>
  <c r="A1193" i="2"/>
  <c r="A1194" i="2"/>
  <c r="A1195" i="2"/>
  <c r="A1196" i="2"/>
  <c r="A1197" i="2"/>
  <c r="A1198" i="2"/>
  <c r="A1199" i="2"/>
  <c r="A1200" i="2"/>
  <c r="A1201" i="2"/>
  <c r="A1202" i="2"/>
  <c r="A1203" i="2"/>
  <c r="A1204" i="2"/>
  <c r="A1205" i="2"/>
  <c r="A1206" i="2"/>
  <c r="A1207" i="2"/>
  <c r="A1208" i="2"/>
  <c r="A1209" i="2"/>
  <c r="A1210" i="2"/>
  <c r="A1211" i="2"/>
  <c r="A1212" i="2"/>
  <c r="A1213" i="2"/>
  <c r="A1214" i="2"/>
  <c r="A1215" i="2"/>
  <c r="A1216" i="2"/>
  <c r="A1217" i="2"/>
  <c r="A1218" i="2"/>
  <c r="A1219" i="2"/>
  <c r="A1220" i="2"/>
  <c r="A1221" i="2"/>
  <c r="A1222" i="2"/>
  <c r="A1223" i="2"/>
  <c r="A1224" i="2"/>
  <c r="A1225" i="2"/>
  <c r="A1226" i="2"/>
  <c r="A1227" i="2"/>
  <c r="A1228" i="2"/>
  <c r="A1229" i="2"/>
  <c r="A1230" i="2"/>
  <c r="A1231" i="2"/>
  <c r="A1232" i="2"/>
  <c r="A1233" i="2"/>
  <c r="A1234" i="2"/>
  <c r="A1235" i="2"/>
  <c r="A1236" i="2"/>
  <c r="A1237" i="2"/>
  <c r="A1238" i="2"/>
  <c r="A1239" i="2"/>
  <c r="A1240" i="2"/>
  <c r="A1241" i="2"/>
  <c r="A1242" i="2"/>
  <c r="A1243" i="2"/>
  <c r="A1244" i="2"/>
  <c r="A1245" i="2"/>
  <c r="A1246" i="2"/>
  <c r="A1247" i="2"/>
  <c r="A1248" i="2"/>
  <c r="A1249" i="2"/>
  <c r="A1250" i="2"/>
  <c r="A1251" i="2"/>
  <c r="A1252" i="2"/>
  <c r="A1253" i="2"/>
  <c r="A1254" i="2"/>
  <c r="A1255" i="2"/>
  <c r="A1256" i="2"/>
  <c r="A1257" i="2"/>
  <c r="A1258" i="2"/>
  <c r="A1259" i="2"/>
  <c r="A1260" i="2"/>
  <c r="A1261" i="2"/>
  <c r="A1262" i="2"/>
  <c r="A1263" i="2"/>
  <c r="A1264" i="2"/>
  <c r="A1265" i="2"/>
  <c r="A1266" i="2"/>
  <c r="A1267" i="2"/>
  <c r="A1268" i="2"/>
  <c r="A1269" i="2"/>
  <c r="A1270" i="2"/>
  <c r="A1271" i="2"/>
  <c r="A1272" i="2"/>
  <c r="A1273" i="2"/>
  <c r="A1274" i="2"/>
  <c r="A1275" i="2"/>
  <c r="A1276" i="2"/>
  <c r="A1277" i="2"/>
  <c r="A1278" i="2"/>
  <c r="A1279" i="2"/>
  <c r="A1280" i="2"/>
  <c r="A1281" i="2"/>
  <c r="A1282" i="2"/>
  <c r="A1283" i="2"/>
  <c r="A1284" i="2"/>
  <c r="A1285" i="2"/>
  <c r="A1286" i="2"/>
  <c r="A1287" i="2"/>
  <c r="A1288" i="2"/>
  <c r="A1289" i="2"/>
  <c r="A1290" i="2"/>
  <c r="A1291" i="2"/>
  <c r="A1292" i="2"/>
  <c r="A1293" i="2"/>
  <c r="A1294" i="2"/>
  <c r="A1295" i="2"/>
  <c r="A1296" i="2"/>
  <c r="A1297" i="2"/>
  <c r="A1298" i="2"/>
  <c r="A1299" i="2"/>
  <c r="A1300" i="2"/>
  <c r="A1301" i="2"/>
  <c r="A1302" i="2"/>
  <c r="A1303" i="2"/>
  <c r="A1304" i="2"/>
  <c r="A1305" i="2"/>
  <c r="A1306" i="2"/>
  <c r="A1307" i="2"/>
  <c r="A1308" i="2"/>
  <c r="A1309" i="2"/>
  <c r="A1310" i="2"/>
  <c r="A1311" i="2"/>
  <c r="A1312" i="2"/>
  <c r="A1313" i="2"/>
  <c r="A1314" i="2"/>
  <c r="A1315" i="2"/>
  <c r="A1316" i="2"/>
  <c r="A1317" i="2"/>
  <c r="A1318" i="2"/>
  <c r="A1319" i="2"/>
  <c r="A1320" i="2"/>
  <c r="A1321" i="2"/>
  <c r="A1322" i="2"/>
  <c r="A1323" i="2"/>
  <c r="A1324" i="2"/>
  <c r="A1325" i="2"/>
  <c r="A1326" i="2"/>
  <c r="A1327" i="2"/>
  <c r="A1328" i="2"/>
  <c r="A1329" i="2"/>
  <c r="A1330" i="2"/>
  <c r="A1331" i="2"/>
  <c r="A1332" i="2"/>
  <c r="A1333" i="2"/>
  <c r="A1334" i="2"/>
  <c r="A1335" i="2"/>
  <c r="A1336" i="2"/>
  <c r="A1337" i="2"/>
  <c r="A1338" i="2"/>
  <c r="A1339" i="2"/>
  <c r="A1340" i="2"/>
  <c r="A1341" i="2"/>
  <c r="A1342" i="2"/>
  <c r="A1343" i="2"/>
  <c r="A1344" i="2"/>
  <c r="A1345" i="2"/>
  <c r="A1346" i="2"/>
  <c r="A1347" i="2"/>
  <c r="A1348" i="2"/>
  <c r="A1349" i="2"/>
  <c r="A1350" i="2"/>
  <c r="A1351" i="2"/>
  <c r="A1352" i="2"/>
  <c r="A1353" i="2"/>
  <c r="A1354" i="2"/>
  <c r="A1355" i="2"/>
  <c r="A1356" i="2"/>
  <c r="A1357" i="2"/>
  <c r="A1358" i="2"/>
  <c r="A1359" i="2"/>
  <c r="A1360" i="2"/>
  <c r="A1361" i="2"/>
  <c r="A1362" i="2"/>
  <c r="A1363" i="2"/>
  <c r="A1364" i="2"/>
  <c r="A1365" i="2"/>
  <c r="A1366" i="2"/>
  <c r="A1367" i="2"/>
  <c r="A1368" i="2"/>
  <c r="A1369" i="2"/>
  <c r="A1370" i="2"/>
  <c r="A1371" i="2"/>
  <c r="A1372" i="2"/>
  <c r="A1373" i="2"/>
  <c r="A1374" i="2"/>
  <c r="A1375" i="2"/>
  <c r="A1376" i="2"/>
  <c r="A1377" i="2"/>
  <c r="A1378" i="2"/>
  <c r="A1379" i="2"/>
  <c r="A1380" i="2"/>
  <c r="A1381" i="2"/>
  <c r="A1382" i="2"/>
  <c r="A1383" i="2"/>
  <c r="A1384" i="2"/>
  <c r="A1385" i="2"/>
  <c r="A1386" i="2"/>
  <c r="A1387" i="2"/>
  <c r="A1388" i="2"/>
  <c r="A1389" i="2"/>
  <c r="A1390" i="2"/>
  <c r="A1391" i="2"/>
  <c r="A1392" i="2"/>
  <c r="A1393" i="2"/>
  <c r="A1394" i="2"/>
  <c r="A1395" i="2"/>
  <c r="A1396" i="2"/>
  <c r="A1397" i="2"/>
  <c r="A1398" i="2"/>
  <c r="A1399" i="2"/>
  <c r="A1400" i="2"/>
  <c r="A1401" i="2"/>
  <c r="A1402" i="2"/>
  <c r="A1403" i="2"/>
  <c r="A1404" i="2"/>
  <c r="A1405" i="2"/>
  <c r="A1406" i="2"/>
  <c r="A1407" i="2"/>
  <c r="A1408" i="2"/>
  <c r="A1409" i="2"/>
  <c r="A1410" i="2"/>
  <c r="A1411" i="2"/>
  <c r="A1412" i="2"/>
  <c r="A1413" i="2"/>
  <c r="A1414" i="2"/>
  <c r="A1415" i="2"/>
  <c r="A1416" i="2"/>
  <c r="A1417" i="2"/>
  <c r="A1418" i="2"/>
  <c r="A1419" i="2"/>
  <c r="A1420" i="2"/>
  <c r="A1421" i="2"/>
  <c r="A1422" i="2"/>
  <c r="A1423" i="2"/>
  <c r="A1424" i="2"/>
  <c r="A1425" i="2"/>
  <c r="A1426" i="2"/>
  <c r="A1427" i="2"/>
  <c r="A1428" i="2"/>
  <c r="A1429" i="2"/>
  <c r="A1430" i="2"/>
  <c r="A1431" i="2"/>
  <c r="A1432" i="2"/>
  <c r="A1433" i="2"/>
  <c r="A1434" i="2"/>
  <c r="A1435" i="2"/>
  <c r="A1436" i="2"/>
  <c r="A1437" i="2"/>
  <c r="A1438" i="2"/>
  <c r="A1439" i="2"/>
  <c r="A1440" i="2"/>
  <c r="A1441" i="2"/>
  <c r="A1442" i="2"/>
  <c r="A1443" i="2"/>
  <c r="A1444" i="2"/>
  <c r="A1445" i="2"/>
  <c r="A1446" i="2"/>
  <c r="A1447" i="2"/>
  <c r="A1448" i="2"/>
  <c r="A1449" i="2"/>
  <c r="A1450" i="2"/>
  <c r="A1451" i="2"/>
  <c r="A1452" i="2"/>
  <c r="A1453" i="2"/>
  <c r="A1454" i="2"/>
  <c r="A1455" i="2"/>
  <c r="A1456" i="2"/>
  <c r="A1457" i="2"/>
  <c r="A1458" i="2"/>
  <c r="A1459" i="2"/>
  <c r="A1460" i="2"/>
  <c r="A1461" i="2"/>
  <c r="A1462" i="2"/>
  <c r="A1463" i="2"/>
  <c r="A1464" i="2"/>
  <c r="A1465" i="2"/>
  <c r="A1466" i="2"/>
  <c r="A1467" i="2"/>
  <c r="A1468" i="2"/>
  <c r="A1469" i="2"/>
  <c r="A1470" i="2"/>
  <c r="A1471" i="2"/>
  <c r="A1472" i="2"/>
  <c r="A1473" i="2"/>
  <c r="A1474" i="2"/>
  <c r="A1475" i="2"/>
  <c r="A1476" i="2"/>
  <c r="A1477" i="2"/>
  <c r="A1478" i="2"/>
  <c r="A1479" i="2"/>
  <c r="A1480" i="2"/>
  <c r="A1481" i="2"/>
  <c r="A1482" i="2"/>
  <c r="A1483" i="2"/>
  <c r="A1484" i="2"/>
  <c r="A1485" i="2"/>
  <c r="A1486" i="2"/>
  <c r="A1487" i="2"/>
  <c r="A1488" i="2"/>
  <c r="A1489" i="2"/>
  <c r="A1490" i="2"/>
  <c r="A1491" i="2"/>
  <c r="A1492" i="2"/>
  <c r="A1493" i="2"/>
  <c r="A1494" i="2"/>
  <c r="A1495" i="2"/>
  <c r="A1496" i="2"/>
  <c r="A1497" i="2"/>
  <c r="A1498" i="2"/>
  <c r="A1499" i="2"/>
  <c r="A1500" i="2"/>
  <c r="A1501" i="2"/>
  <c r="A1502" i="2"/>
  <c r="A1503" i="2"/>
  <c r="A1504" i="2"/>
  <c r="A1505" i="2"/>
  <c r="A1506" i="2"/>
  <c r="A1507" i="2"/>
  <c r="A1508" i="2"/>
  <c r="A1509" i="2"/>
  <c r="A1510" i="2"/>
  <c r="A1511" i="2"/>
  <c r="A1512" i="2"/>
  <c r="A1513" i="2"/>
  <c r="A1514" i="2"/>
  <c r="A1515" i="2"/>
  <c r="A1516" i="2"/>
  <c r="A1517" i="2"/>
  <c r="A1518" i="2"/>
  <c r="A1519" i="2"/>
  <c r="A1520" i="2"/>
  <c r="A1521" i="2"/>
  <c r="A1522" i="2"/>
  <c r="A1523" i="2"/>
  <c r="A1524" i="2"/>
  <c r="A1525" i="2"/>
  <c r="A1526" i="2"/>
  <c r="A1527" i="2"/>
  <c r="A1528" i="2"/>
  <c r="A1529" i="2"/>
  <c r="A1530" i="2"/>
  <c r="A1531" i="2"/>
  <c r="A1532" i="2"/>
  <c r="A1533" i="2"/>
  <c r="A1534" i="2"/>
  <c r="A1535" i="2"/>
  <c r="A1536" i="2"/>
  <c r="A1537" i="2"/>
  <c r="A1538" i="2"/>
  <c r="A1539" i="2"/>
  <c r="A1540" i="2"/>
  <c r="A1541" i="2"/>
  <c r="A1542" i="2"/>
  <c r="A1543" i="2"/>
  <c r="A1544" i="2"/>
  <c r="A1545" i="2"/>
  <c r="A1546" i="2"/>
  <c r="A1547" i="2"/>
  <c r="A1548" i="2"/>
  <c r="A1549" i="2"/>
  <c r="A1550" i="2"/>
  <c r="A1551" i="2"/>
  <c r="A1552" i="2"/>
  <c r="A1553" i="2"/>
  <c r="A1554" i="2"/>
  <c r="A1555" i="2"/>
  <c r="A1556" i="2"/>
  <c r="A1557" i="2"/>
  <c r="A1558" i="2"/>
  <c r="A1559" i="2"/>
  <c r="A1560" i="2"/>
  <c r="A1561" i="2"/>
  <c r="A1562" i="2"/>
  <c r="A1563" i="2"/>
  <c r="A1564" i="2"/>
  <c r="A1565" i="2"/>
  <c r="A1566" i="2"/>
  <c r="A1567" i="2"/>
  <c r="A1568" i="2"/>
  <c r="A1569" i="2"/>
  <c r="A1570" i="2"/>
  <c r="A1571" i="2"/>
  <c r="A1572" i="2"/>
  <c r="A1573" i="2"/>
  <c r="A1574" i="2"/>
  <c r="A1575" i="2"/>
  <c r="A1576" i="2"/>
  <c r="A1577" i="2"/>
  <c r="A1578" i="2"/>
  <c r="A1579" i="2"/>
  <c r="A1580" i="2"/>
  <c r="A1581" i="2"/>
  <c r="A1582" i="2"/>
  <c r="A1583" i="2"/>
  <c r="A1584" i="2"/>
  <c r="A1585" i="2"/>
  <c r="A1586" i="2"/>
  <c r="A1587" i="2"/>
  <c r="A1588" i="2"/>
  <c r="A1589" i="2"/>
  <c r="A1590" i="2"/>
  <c r="A1591" i="2"/>
  <c r="A1592" i="2"/>
  <c r="A1593" i="2"/>
  <c r="A1594" i="2"/>
  <c r="A1595" i="2"/>
  <c r="A1596" i="2"/>
  <c r="A1597" i="2"/>
  <c r="A1598" i="2"/>
  <c r="A1599" i="2"/>
  <c r="A1600" i="2"/>
  <c r="A1601" i="2"/>
  <c r="A1602" i="2"/>
  <c r="A1603" i="2"/>
  <c r="A1604" i="2"/>
  <c r="A1605" i="2"/>
  <c r="A1606" i="2"/>
  <c r="A1607" i="2"/>
  <c r="A1608" i="2"/>
  <c r="A1609" i="2"/>
  <c r="A1610" i="2"/>
  <c r="A1611" i="2"/>
  <c r="A1612" i="2"/>
  <c r="A1613" i="2"/>
  <c r="A1614" i="2"/>
  <c r="A1615" i="2"/>
  <c r="A1616" i="2"/>
  <c r="A1617" i="2"/>
  <c r="A1618" i="2"/>
  <c r="A1619" i="2"/>
  <c r="A1620" i="2"/>
  <c r="A1621" i="2"/>
  <c r="A1622" i="2"/>
  <c r="A1623" i="2"/>
  <c r="A1624" i="2"/>
  <c r="A1625" i="2"/>
  <c r="A1626" i="2"/>
  <c r="A1627" i="2"/>
  <c r="A1628" i="2"/>
  <c r="A1629" i="2"/>
  <c r="A1630" i="2"/>
  <c r="A1631" i="2"/>
  <c r="A1632" i="2"/>
  <c r="A1633" i="2"/>
  <c r="A1634" i="2"/>
  <c r="A1635" i="2"/>
  <c r="A1636" i="2"/>
  <c r="A1637" i="2"/>
  <c r="A1638" i="2"/>
  <c r="A1639" i="2"/>
  <c r="A1640" i="2"/>
  <c r="A1641" i="2"/>
  <c r="A1642" i="2"/>
  <c r="A1643" i="2"/>
  <c r="A1644" i="2"/>
  <c r="A1645" i="2"/>
  <c r="A1646" i="2"/>
  <c r="A1647" i="2"/>
  <c r="A1648" i="2"/>
  <c r="A1649" i="2"/>
  <c r="A1650" i="2"/>
  <c r="A1651" i="2"/>
  <c r="A1652" i="2"/>
  <c r="A1653" i="2"/>
  <c r="A1654" i="2"/>
  <c r="A1655" i="2"/>
  <c r="A1656" i="2"/>
  <c r="A1657" i="2"/>
  <c r="A1658" i="2"/>
  <c r="A1659" i="2"/>
  <c r="A1660" i="2"/>
  <c r="A1661" i="2"/>
  <c r="A1662" i="2"/>
  <c r="A1663" i="2"/>
  <c r="A1664" i="2"/>
  <c r="A1665" i="2"/>
  <c r="A1666" i="2"/>
  <c r="A1667" i="2"/>
  <c r="A1668" i="2"/>
  <c r="A1669" i="2"/>
  <c r="A1670" i="2"/>
  <c r="A1671" i="2"/>
  <c r="A1672" i="2"/>
  <c r="A1673" i="2"/>
  <c r="A1674" i="2"/>
  <c r="A1675" i="2"/>
  <c r="A1676" i="2"/>
  <c r="A1677" i="2"/>
  <c r="A1678" i="2"/>
  <c r="A1679" i="2"/>
  <c r="A1680" i="2"/>
  <c r="A1681" i="2"/>
  <c r="A1682" i="2"/>
  <c r="A1683" i="2"/>
  <c r="A1684" i="2"/>
  <c r="A1685" i="2"/>
  <c r="A1686" i="2"/>
  <c r="A1687" i="2"/>
  <c r="A1688" i="2"/>
  <c r="A1689" i="2"/>
  <c r="A1690" i="2"/>
  <c r="A1691" i="2"/>
  <c r="A1692" i="2"/>
  <c r="A1693" i="2"/>
  <c r="A1694" i="2"/>
  <c r="A1695" i="2"/>
  <c r="A1696" i="2"/>
  <c r="A1697" i="2"/>
  <c r="A1698" i="2"/>
  <c r="A1699" i="2"/>
  <c r="A1700" i="2"/>
  <c r="A1701" i="2"/>
  <c r="A1702" i="2"/>
  <c r="A1703" i="2"/>
  <c r="A1704" i="2"/>
  <c r="A1705" i="2"/>
  <c r="A1706" i="2"/>
  <c r="A1707" i="2"/>
  <c r="A1708" i="2"/>
  <c r="A1709" i="2"/>
  <c r="A1710" i="2"/>
  <c r="A1711" i="2"/>
  <c r="A1712" i="2"/>
  <c r="A1713" i="2"/>
  <c r="A1714" i="2"/>
  <c r="A1715" i="2"/>
  <c r="A1716" i="2"/>
  <c r="A1717" i="2"/>
  <c r="A1718" i="2"/>
  <c r="A1719" i="2"/>
  <c r="A1720" i="2"/>
  <c r="A1721" i="2"/>
  <c r="A1722" i="2"/>
  <c r="A1723" i="2"/>
  <c r="A1724" i="2"/>
  <c r="A1725" i="2"/>
  <c r="A1726" i="2"/>
  <c r="A1727" i="2"/>
  <c r="A1728" i="2"/>
  <c r="A1729" i="2"/>
  <c r="A1730" i="2"/>
  <c r="A1731" i="2"/>
  <c r="A1732" i="2"/>
  <c r="A1733" i="2"/>
  <c r="A1734" i="2"/>
  <c r="A1735" i="2"/>
  <c r="A1736" i="2"/>
  <c r="A1737" i="2"/>
  <c r="A1738" i="2"/>
  <c r="A1739" i="2"/>
  <c r="A1740" i="2"/>
  <c r="A1741" i="2"/>
  <c r="A1742" i="2"/>
  <c r="A1743" i="2"/>
  <c r="A1744" i="2"/>
  <c r="A1745" i="2"/>
  <c r="A1746" i="2"/>
  <c r="A1747" i="2"/>
  <c r="A1748" i="2"/>
  <c r="A1749" i="2"/>
  <c r="A1750" i="2"/>
  <c r="A1751" i="2"/>
  <c r="A1752" i="2"/>
  <c r="A1753" i="2"/>
  <c r="A1754" i="2"/>
  <c r="A1755" i="2"/>
  <c r="A1756" i="2"/>
  <c r="A1757" i="2"/>
  <c r="A1758" i="2"/>
  <c r="A1759" i="2"/>
  <c r="A1760" i="2"/>
  <c r="A1761" i="2"/>
  <c r="A1762" i="2"/>
  <c r="A1763" i="2"/>
  <c r="A1764" i="2"/>
  <c r="A1765" i="2"/>
  <c r="A1766" i="2"/>
  <c r="A1767" i="2"/>
  <c r="A1768" i="2"/>
  <c r="A1769" i="2"/>
  <c r="A1770" i="2"/>
  <c r="A1771" i="2"/>
  <c r="A1772" i="2"/>
  <c r="A1773" i="2"/>
  <c r="A1774" i="2"/>
  <c r="A1775" i="2"/>
  <c r="A1776" i="2"/>
  <c r="A1777" i="2"/>
  <c r="A1778" i="2"/>
  <c r="A1779" i="2"/>
  <c r="A1780" i="2"/>
  <c r="A1781" i="2"/>
  <c r="A1782" i="2"/>
  <c r="A1783" i="2"/>
  <c r="A1784" i="2"/>
  <c r="A1785" i="2"/>
  <c r="A1786" i="2"/>
  <c r="A1787" i="2"/>
  <c r="A1788" i="2"/>
  <c r="A1789" i="2"/>
  <c r="A1790" i="2"/>
  <c r="A1791" i="2"/>
  <c r="A1792" i="2"/>
  <c r="A1793" i="2"/>
  <c r="A1794" i="2"/>
  <c r="A1795" i="2"/>
  <c r="A1796" i="2"/>
  <c r="A1797" i="2"/>
  <c r="A1798" i="2"/>
  <c r="A1799" i="2"/>
  <c r="A1800" i="2"/>
  <c r="A1801" i="2"/>
  <c r="A1802" i="2"/>
  <c r="A1803" i="2"/>
  <c r="A1804" i="2"/>
  <c r="A1805" i="2"/>
  <c r="A1806" i="2"/>
  <c r="A1807" i="2"/>
  <c r="A1808" i="2"/>
  <c r="A1809" i="2"/>
  <c r="A1810" i="2"/>
  <c r="A1811" i="2"/>
  <c r="A1812" i="2"/>
  <c r="A1813" i="2"/>
  <c r="A1814" i="2"/>
  <c r="A1815" i="2"/>
  <c r="A1816" i="2"/>
  <c r="A1817" i="2"/>
  <c r="A1818" i="2"/>
  <c r="A1819" i="2"/>
  <c r="A1820" i="2"/>
  <c r="A1821" i="2"/>
  <c r="A1822" i="2"/>
  <c r="A1823" i="2"/>
  <c r="A1824" i="2"/>
  <c r="A1825" i="2"/>
  <c r="A1826" i="2"/>
  <c r="A1827" i="2"/>
  <c r="A1828" i="2"/>
  <c r="A1829" i="2"/>
  <c r="A1830" i="2"/>
  <c r="A1831" i="2"/>
  <c r="A1832" i="2"/>
  <c r="A1833" i="2"/>
  <c r="A1834" i="2"/>
  <c r="A1835" i="2"/>
  <c r="A1836" i="2"/>
  <c r="A1837" i="2"/>
  <c r="A1838" i="2"/>
  <c r="A1839" i="2"/>
  <c r="A1840" i="2"/>
  <c r="A1841" i="2"/>
  <c r="A1842" i="2"/>
  <c r="A1843" i="2"/>
  <c r="A1844" i="2"/>
  <c r="A1845" i="2"/>
  <c r="A1846" i="2"/>
  <c r="A1847" i="2"/>
  <c r="A1848" i="2"/>
  <c r="A1849" i="2"/>
  <c r="A1850" i="2"/>
  <c r="A1851" i="2"/>
  <c r="A1852" i="2"/>
  <c r="A1853" i="2"/>
  <c r="A1854" i="2"/>
  <c r="A1855" i="2"/>
  <c r="A1856" i="2"/>
  <c r="A1857" i="2"/>
  <c r="A1858" i="2"/>
  <c r="A1859" i="2"/>
  <c r="A1860" i="2"/>
  <c r="A1861" i="2"/>
  <c r="A1862" i="2"/>
  <c r="A1863" i="2"/>
  <c r="A1864" i="2"/>
  <c r="A1865" i="2"/>
  <c r="A1866" i="2"/>
  <c r="A1867" i="2"/>
  <c r="A1868" i="2"/>
  <c r="A1869" i="2"/>
  <c r="A1870" i="2"/>
  <c r="A1871" i="2"/>
  <c r="A1872" i="2"/>
  <c r="A1873" i="2"/>
  <c r="A1874" i="2"/>
  <c r="A1875" i="2"/>
  <c r="A1876" i="2"/>
  <c r="A1877" i="2"/>
  <c r="A1878" i="2"/>
  <c r="A1879" i="2"/>
  <c r="A1880" i="2"/>
  <c r="A1881" i="2"/>
  <c r="A1882" i="2"/>
  <c r="A1883" i="2"/>
  <c r="A1884" i="2"/>
  <c r="A1885" i="2"/>
  <c r="A1886" i="2"/>
  <c r="A1887" i="2"/>
  <c r="A1888" i="2"/>
  <c r="A1889" i="2"/>
  <c r="A1890" i="2"/>
  <c r="A1891" i="2"/>
  <c r="A1892" i="2"/>
  <c r="A1893" i="2"/>
  <c r="A1894" i="2"/>
  <c r="A1895" i="2"/>
  <c r="A1896" i="2"/>
  <c r="A1897" i="2"/>
  <c r="A1898" i="2"/>
  <c r="A1899" i="2"/>
  <c r="A1900" i="2"/>
  <c r="A1901" i="2"/>
  <c r="A1902" i="2"/>
  <c r="A1903" i="2"/>
  <c r="A1904" i="2"/>
  <c r="A1905" i="2"/>
  <c r="A1906" i="2"/>
  <c r="A1907" i="2"/>
  <c r="A1908" i="2"/>
  <c r="A1909" i="2"/>
  <c r="A1910" i="2"/>
  <c r="A1911" i="2"/>
  <c r="A1912" i="2"/>
  <c r="A1913" i="2"/>
  <c r="A1914" i="2"/>
  <c r="A1915" i="2"/>
  <c r="A1916" i="2"/>
  <c r="A1917" i="2"/>
  <c r="A1918" i="2"/>
  <c r="A1919" i="2"/>
  <c r="A1920" i="2"/>
  <c r="A1921" i="2"/>
  <c r="A1922" i="2"/>
  <c r="A1923" i="2"/>
  <c r="A1924" i="2"/>
  <c r="A1925" i="2"/>
  <c r="A1926" i="2"/>
  <c r="A1927" i="2"/>
  <c r="A1928" i="2"/>
  <c r="A1929" i="2"/>
  <c r="A1930" i="2"/>
  <c r="A1931" i="2"/>
  <c r="A1932" i="2"/>
  <c r="A1933" i="2"/>
  <c r="A1934" i="2"/>
  <c r="A1935" i="2"/>
  <c r="A1936" i="2"/>
  <c r="A1937" i="2"/>
  <c r="A1938" i="2"/>
  <c r="A1939" i="2"/>
  <c r="A1940" i="2"/>
  <c r="A1941" i="2"/>
  <c r="A1942" i="2"/>
  <c r="A1943" i="2"/>
  <c r="A1944" i="2"/>
  <c r="A1945" i="2"/>
  <c r="A1946" i="2"/>
  <c r="A1947" i="2"/>
  <c r="A1948" i="2"/>
  <c r="A1949" i="2"/>
  <c r="A1950" i="2"/>
  <c r="A1951" i="2"/>
  <c r="A1952" i="2"/>
  <c r="A1953" i="2"/>
  <c r="A1954" i="2"/>
  <c r="A1955" i="2"/>
  <c r="A1956" i="2"/>
  <c r="A1957" i="2"/>
  <c r="A1958" i="2"/>
  <c r="A1959" i="2"/>
  <c r="A1960" i="2"/>
  <c r="A1961" i="2"/>
  <c r="A1962" i="2"/>
  <c r="A1963" i="2"/>
  <c r="A1964" i="2"/>
  <c r="A1965" i="2"/>
  <c r="A1966" i="2"/>
  <c r="A1967" i="2"/>
  <c r="A1968" i="2"/>
  <c r="A1969" i="2"/>
  <c r="A1970" i="2"/>
  <c r="A1971" i="2"/>
  <c r="A1972" i="2"/>
  <c r="A1973" i="2"/>
  <c r="A1974" i="2"/>
  <c r="A1975" i="2"/>
  <c r="A1976" i="2"/>
  <c r="A1977" i="2"/>
  <c r="A1978" i="2"/>
  <c r="A1979" i="2"/>
  <c r="A1980" i="2"/>
  <c r="A1981" i="2"/>
  <c r="A1982" i="2"/>
  <c r="A1983" i="2"/>
  <c r="A1984" i="2"/>
  <c r="A1985" i="2"/>
  <c r="A1986" i="2"/>
  <c r="A1987" i="2"/>
  <c r="A1988" i="2"/>
  <c r="A1989" i="2"/>
  <c r="A1990" i="2"/>
  <c r="A1991" i="2"/>
  <c r="A1992" i="2"/>
  <c r="A1993" i="2"/>
  <c r="A1994" i="2"/>
  <c r="A1995" i="2"/>
  <c r="A1996" i="2"/>
  <c r="A1997" i="2"/>
  <c r="A1998" i="2"/>
  <c r="A1999" i="2"/>
  <c r="A2000" i="2"/>
  <c r="A2001" i="2"/>
  <c r="A2002" i="2"/>
  <c r="A2003" i="2"/>
  <c r="A2004" i="2"/>
  <c r="A2005" i="2"/>
  <c r="A2006" i="2"/>
  <c r="A2007" i="2"/>
  <c r="A2008" i="2"/>
  <c r="A2009" i="2"/>
  <c r="A2010" i="2"/>
  <c r="A2011" i="2"/>
  <c r="A2012" i="2"/>
  <c r="A2013" i="2"/>
  <c r="A2014" i="2"/>
  <c r="A2015" i="2"/>
  <c r="A2016" i="2"/>
  <c r="A2017" i="2"/>
  <c r="A2018" i="2"/>
  <c r="A2019" i="2"/>
  <c r="A2020" i="2"/>
  <c r="A2021" i="2"/>
  <c r="A2022" i="2"/>
  <c r="A2023" i="2"/>
  <c r="A2024" i="2"/>
  <c r="A2025" i="2"/>
  <c r="A2026" i="2"/>
  <c r="A2027" i="2"/>
  <c r="A2028" i="2"/>
  <c r="A2029" i="2"/>
  <c r="A2030" i="2"/>
  <c r="A2031" i="2"/>
  <c r="A2032" i="2"/>
  <c r="A2033" i="2"/>
  <c r="A2034" i="2"/>
  <c r="A2035" i="2"/>
  <c r="A2036" i="2"/>
  <c r="A2037" i="2"/>
  <c r="A2038" i="2"/>
  <c r="A2039" i="2"/>
  <c r="A2040" i="2"/>
  <c r="A2041" i="2"/>
  <c r="A2042" i="2"/>
  <c r="A2043" i="2"/>
  <c r="A2044" i="2"/>
  <c r="A2045" i="2"/>
  <c r="A2046" i="2"/>
  <c r="A2047" i="2"/>
  <c r="A2048" i="2"/>
  <c r="A2049" i="2"/>
  <c r="A2050" i="2"/>
  <c r="A2051" i="2"/>
  <c r="A2052" i="2"/>
  <c r="A2053" i="2"/>
  <c r="A2054" i="2"/>
  <c r="A2055" i="2"/>
  <c r="A2056" i="2"/>
  <c r="A2057" i="2"/>
  <c r="A2058" i="2"/>
  <c r="A2059" i="2"/>
  <c r="A2060" i="2"/>
  <c r="A2061" i="2"/>
  <c r="A2062" i="2"/>
  <c r="A2063" i="2"/>
  <c r="A2064" i="2"/>
  <c r="A2065" i="2"/>
  <c r="A2066" i="2"/>
  <c r="A2067" i="2"/>
  <c r="A2068" i="2"/>
  <c r="A2069" i="2"/>
  <c r="A2070" i="2"/>
  <c r="A2071" i="2"/>
  <c r="A2072" i="2"/>
  <c r="A2073" i="2"/>
  <c r="A2074" i="2"/>
  <c r="A2075" i="2"/>
  <c r="A2076" i="2"/>
  <c r="A2077" i="2"/>
  <c r="A2078" i="2"/>
  <c r="A2079" i="2"/>
  <c r="A2080" i="2"/>
  <c r="A2081" i="2"/>
  <c r="A2082" i="2"/>
  <c r="A2083" i="2"/>
  <c r="A2084" i="2"/>
  <c r="A2085" i="2"/>
  <c r="A2086" i="2"/>
  <c r="A2087" i="2"/>
  <c r="A2088" i="2"/>
  <c r="A2089" i="2"/>
  <c r="A2090" i="2"/>
  <c r="A2091" i="2"/>
  <c r="A2092" i="2"/>
  <c r="A2093" i="2"/>
  <c r="A2094" i="2"/>
  <c r="A2095" i="2"/>
  <c r="A2096" i="2"/>
  <c r="A2097" i="2"/>
  <c r="A2098" i="2"/>
  <c r="A2099" i="2"/>
  <c r="A2100" i="2"/>
  <c r="A2101" i="2"/>
  <c r="A2102" i="2"/>
  <c r="A2103" i="2"/>
  <c r="A2104" i="2"/>
  <c r="A2105" i="2"/>
  <c r="A2106" i="2"/>
  <c r="A2107" i="2"/>
  <c r="A2108" i="2"/>
  <c r="A2109" i="2"/>
  <c r="A2110" i="2"/>
  <c r="A2111" i="2"/>
  <c r="A2112" i="2"/>
  <c r="A2113" i="2"/>
  <c r="A2114" i="2"/>
  <c r="A2115" i="2"/>
  <c r="A2116" i="2"/>
  <c r="A2117" i="2"/>
  <c r="A2118" i="2"/>
  <c r="A2119" i="2"/>
  <c r="A2120" i="2"/>
  <c r="A2121" i="2"/>
  <c r="A2122" i="2"/>
  <c r="A2123" i="2"/>
  <c r="A2124" i="2"/>
  <c r="A2125" i="2"/>
  <c r="A2126" i="2"/>
  <c r="A2127" i="2"/>
  <c r="A2128" i="2"/>
  <c r="A2129" i="2"/>
  <c r="A2130" i="2"/>
  <c r="A2131" i="2"/>
  <c r="A2132" i="2"/>
  <c r="A2133" i="2"/>
  <c r="A2134" i="2"/>
  <c r="A2135" i="2"/>
  <c r="A2136" i="2"/>
  <c r="A2137" i="2"/>
  <c r="A2138" i="2"/>
  <c r="A2139" i="2"/>
  <c r="A2140" i="2"/>
  <c r="A2141" i="2"/>
  <c r="A2142" i="2"/>
  <c r="A2143" i="2"/>
  <c r="A2144" i="2"/>
  <c r="A2145" i="2"/>
  <c r="A2146" i="2"/>
  <c r="A2147" i="2"/>
  <c r="A2148" i="2"/>
  <c r="A2149" i="2"/>
  <c r="A2150" i="2"/>
  <c r="A2151" i="2"/>
  <c r="A2152" i="2"/>
  <c r="A2153" i="2"/>
  <c r="A2154" i="2"/>
  <c r="A2155" i="2"/>
  <c r="A2156" i="2"/>
  <c r="A2157" i="2"/>
  <c r="A2158" i="2"/>
  <c r="A2159" i="2"/>
  <c r="A2160" i="2"/>
  <c r="A2161" i="2"/>
  <c r="A2162" i="2"/>
  <c r="A2163" i="2"/>
  <c r="A2164" i="2"/>
  <c r="A2165" i="2"/>
  <c r="A2166" i="2"/>
  <c r="A2167" i="2"/>
  <c r="A2168" i="2"/>
  <c r="A2169" i="2"/>
  <c r="A2170" i="2"/>
  <c r="A2171" i="2"/>
  <c r="A2172" i="2"/>
  <c r="A2173" i="2"/>
  <c r="A2174" i="2"/>
  <c r="A2175" i="2"/>
  <c r="A2176" i="2"/>
  <c r="A2177" i="2"/>
  <c r="A2178" i="2"/>
  <c r="A2179" i="2"/>
  <c r="A2180" i="2"/>
  <c r="A2181" i="2"/>
  <c r="A2182" i="2"/>
  <c r="A2183" i="2"/>
  <c r="A2184" i="2"/>
  <c r="A2185" i="2"/>
  <c r="A2186" i="2"/>
  <c r="A2187" i="2"/>
  <c r="A2188" i="2"/>
  <c r="A2189" i="2"/>
  <c r="A2190" i="2"/>
  <c r="A2191" i="2"/>
  <c r="A2192" i="2"/>
  <c r="A2193" i="2"/>
  <c r="A2194" i="2"/>
  <c r="A2195" i="2"/>
  <c r="A2196" i="2"/>
  <c r="A2197" i="2"/>
  <c r="A2198" i="2"/>
  <c r="A2199" i="2"/>
  <c r="A2200" i="2"/>
  <c r="A2201" i="2"/>
  <c r="A2202" i="2"/>
  <c r="A2203" i="2"/>
  <c r="A2204" i="2"/>
  <c r="A2205" i="2"/>
  <c r="A2206" i="2"/>
  <c r="A2207" i="2"/>
  <c r="A2208" i="2"/>
  <c r="A2209" i="2"/>
  <c r="A2210" i="2"/>
  <c r="A2211" i="2"/>
  <c r="A2212" i="2"/>
  <c r="A2213" i="2"/>
  <c r="A2214" i="2"/>
  <c r="A2215" i="2"/>
  <c r="A2216" i="2"/>
  <c r="A2217" i="2"/>
  <c r="A2218" i="2"/>
  <c r="A2219" i="2"/>
  <c r="A2220" i="2"/>
  <c r="A2221" i="2"/>
  <c r="A2222" i="2"/>
  <c r="A2223" i="2"/>
  <c r="A2224" i="2"/>
  <c r="A2225" i="2"/>
  <c r="A2226" i="2"/>
  <c r="A2227" i="2"/>
  <c r="A2228" i="2"/>
  <c r="A2229" i="2"/>
  <c r="A2230" i="2"/>
  <c r="A2231" i="2"/>
  <c r="A2232" i="2"/>
  <c r="A2233" i="2"/>
  <c r="A2234" i="2"/>
  <c r="A2235" i="2"/>
  <c r="A2236" i="2"/>
  <c r="A2237" i="2"/>
  <c r="A2238" i="2"/>
  <c r="A2239" i="2"/>
  <c r="A2240" i="2"/>
  <c r="A2241" i="2"/>
  <c r="A2242" i="2"/>
  <c r="A2243" i="2"/>
  <c r="A2244" i="2"/>
  <c r="A2245" i="2"/>
  <c r="A2246" i="2"/>
  <c r="A2247" i="2"/>
  <c r="A2248" i="2"/>
  <c r="A2249" i="2"/>
  <c r="A2250" i="2"/>
  <c r="A2251" i="2"/>
  <c r="A2252" i="2"/>
  <c r="A2253" i="2"/>
  <c r="A2254" i="2"/>
  <c r="A2255" i="2"/>
  <c r="A2256" i="2"/>
  <c r="A2257" i="2"/>
  <c r="A2258" i="2"/>
  <c r="A2259" i="2"/>
  <c r="A2260" i="2"/>
  <c r="A2261" i="2"/>
  <c r="A2262" i="2"/>
  <c r="A2263" i="2"/>
  <c r="A2264" i="2"/>
  <c r="A2265" i="2"/>
  <c r="A2266" i="2"/>
  <c r="A2267" i="2"/>
  <c r="A2268" i="2"/>
  <c r="A2269" i="2"/>
  <c r="A2270" i="2"/>
  <c r="A2271" i="2"/>
  <c r="A2272" i="2"/>
  <c r="A2273" i="2"/>
  <c r="A2274" i="2"/>
  <c r="A2275" i="2"/>
  <c r="A2276" i="2"/>
  <c r="A2277" i="2"/>
  <c r="A2278" i="2"/>
  <c r="A2279" i="2"/>
  <c r="A2280" i="2"/>
  <c r="A2281" i="2"/>
  <c r="A2282" i="2"/>
  <c r="A2283" i="2"/>
  <c r="A2284" i="2"/>
  <c r="A2285" i="2"/>
  <c r="A2286" i="2"/>
  <c r="A2287" i="2"/>
  <c r="A2288" i="2"/>
  <c r="A2289" i="2"/>
  <c r="A2290" i="2"/>
  <c r="A2291" i="2"/>
  <c r="A2292" i="2"/>
  <c r="A2293" i="2"/>
  <c r="A2294" i="2"/>
  <c r="A2295" i="2"/>
  <c r="A2296" i="2"/>
  <c r="A2297" i="2"/>
  <c r="A2298" i="2"/>
  <c r="A2299" i="2"/>
  <c r="A2300" i="2"/>
  <c r="A2301" i="2"/>
  <c r="A2302" i="2"/>
  <c r="A2303" i="2"/>
  <c r="A2304" i="2"/>
  <c r="A2305" i="2"/>
  <c r="A2306" i="2"/>
  <c r="A2307" i="2"/>
  <c r="A2308" i="2"/>
  <c r="A2309" i="2"/>
  <c r="A2310" i="2"/>
  <c r="A2311" i="2"/>
  <c r="A2312" i="2"/>
  <c r="A2313" i="2"/>
  <c r="A2314" i="2"/>
  <c r="A2315" i="2"/>
  <c r="A2316" i="2"/>
  <c r="A2317" i="2"/>
  <c r="A2318" i="2"/>
  <c r="A2319" i="2"/>
  <c r="A2320" i="2"/>
  <c r="A2321" i="2"/>
  <c r="A2322" i="2"/>
  <c r="A2323" i="2"/>
  <c r="A2324" i="2"/>
  <c r="A2325" i="2"/>
  <c r="A2326" i="2"/>
  <c r="A2327" i="2"/>
  <c r="A2328" i="2"/>
  <c r="A2329" i="2"/>
  <c r="A2330" i="2"/>
  <c r="A2331" i="2"/>
  <c r="A2332" i="2"/>
  <c r="A2333" i="2"/>
  <c r="A2334" i="2"/>
  <c r="A2335" i="2"/>
  <c r="A2336" i="2"/>
  <c r="A2337" i="2"/>
  <c r="A2338" i="2"/>
  <c r="A2339" i="2"/>
  <c r="A2340" i="2"/>
  <c r="A2341" i="2"/>
  <c r="A2342" i="2"/>
  <c r="A2343" i="2"/>
  <c r="A2344" i="2"/>
  <c r="A2345" i="2"/>
  <c r="A2346" i="2"/>
  <c r="A2347" i="2"/>
  <c r="A2348" i="2"/>
  <c r="A2349" i="2"/>
  <c r="A2350" i="2"/>
  <c r="A2351" i="2"/>
  <c r="A2352" i="2"/>
  <c r="A2353" i="2"/>
  <c r="A2354" i="2"/>
  <c r="A2355" i="2"/>
  <c r="A2356" i="2"/>
  <c r="A2357" i="2"/>
  <c r="A2358" i="2"/>
  <c r="A2359" i="2"/>
  <c r="A2360" i="2"/>
  <c r="A2361" i="2"/>
  <c r="A2362" i="2"/>
  <c r="A2363" i="2"/>
  <c r="A2364" i="2"/>
  <c r="A2365" i="2"/>
  <c r="A2366" i="2"/>
  <c r="A2367" i="2"/>
  <c r="A2368" i="2"/>
  <c r="A2369" i="2"/>
  <c r="A2370" i="2"/>
  <c r="A2371" i="2"/>
  <c r="A2372" i="2"/>
  <c r="A2373" i="2"/>
  <c r="A2374" i="2"/>
  <c r="A2375" i="2"/>
  <c r="A2376" i="2"/>
  <c r="A2377" i="2"/>
  <c r="A2378" i="2"/>
  <c r="A2379" i="2"/>
  <c r="A2380" i="2"/>
  <c r="A2381" i="2"/>
  <c r="A2382" i="2"/>
  <c r="A2383" i="2"/>
  <c r="A2384" i="2"/>
  <c r="A2385" i="2"/>
  <c r="A2386" i="2"/>
  <c r="A2387" i="2"/>
  <c r="A2388" i="2"/>
  <c r="A2389" i="2"/>
  <c r="A2390" i="2"/>
  <c r="A2391" i="2"/>
  <c r="A2392" i="2"/>
  <c r="A2393" i="2"/>
  <c r="A2394" i="2"/>
  <c r="A2395" i="2"/>
  <c r="A2396" i="2"/>
  <c r="A2397" i="2"/>
  <c r="A2398" i="2"/>
  <c r="A2399" i="2"/>
  <c r="A2400" i="2"/>
  <c r="A2401" i="2"/>
  <c r="A2402" i="2"/>
  <c r="A2403" i="2"/>
  <c r="A2404" i="2"/>
  <c r="A2405" i="2"/>
  <c r="A2406" i="2"/>
  <c r="A2407" i="2"/>
  <c r="A2408" i="2"/>
  <c r="A2409" i="2"/>
  <c r="A2410" i="2"/>
  <c r="A2411" i="2"/>
  <c r="A2412" i="2"/>
  <c r="A2413" i="2"/>
  <c r="A2414" i="2"/>
  <c r="A2415" i="2"/>
  <c r="A2416" i="2"/>
  <c r="A2417" i="2"/>
  <c r="A2418" i="2"/>
  <c r="A2419" i="2"/>
  <c r="A2420" i="2"/>
  <c r="A2421" i="2"/>
  <c r="A2422" i="2"/>
  <c r="A2423" i="2"/>
  <c r="A2424" i="2"/>
  <c r="A2425" i="2"/>
  <c r="A2426" i="2"/>
  <c r="A2427" i="2"/>
  <c r="A2428" i="2"/>
  <c r="A2429" i="2"/>
  <c r="A2430" i="2"/>
  <c r="A2431" i="2"/>
  <c r="A2432" i="2"/>
  <c r="A2433" i="2"/>
  <c r="A2434" i="2"/>
  <c r="A2435" i="2"/>
  <c r="A2436" i="2"/>
  <c r="A2437" i="2"/>
  <c r="A2438" i="2"/>
  <c r="A2439" i="2"/>
  <c r="A2440" i="2"/>
  <c r="A2441" i="2"/>
  <c r="A2442" i="2"/>
  <c r="A2443" i="2"/>
  <c r="A2444" i="2"/>
  <c r="A2445" i="2"/>
  <c r="A2446" i="2"/>
  <c r="A2447" i="2"/>
  <c r="A2448" i="2"/>
  <c r="A2449" i="2"/>
  <c r="A2450" i="2"/>
  <c r="A2451" i="2"/>
  <c r="A2452" i="2"/>
  <c r="A2453" i="2"/>
  <c r="A2454" i="2"/>
  <c r="A2455" i="2"/>
  <c r="A2456" i="2"/>
  <c r="A2457" i="2"/>
  <c r="A2458" i="2"/>
  <c r="A2459" i="2"/>
  <c r="A2460" i="2"/>
  <c r="A2461" i="2"/>
  <c r="A2462" i="2"/>
  <c r="A2463" i="2"/>
  <c r="A2464" i="2"/>
  <c r="A2465" i="2"/>
  <c r="A2466" i="2"/>
  <c r="A2467" i="2"/>
  <c r="A2468" i="2"/>
  <c r="A2469" i="2"/>
  <c r="A2470" i="2"/>
  <c r="A2471" i="2"/>
  <c r="A2472" i="2"/>
  <c r="A2473" i="2"/>
  <c r="A2474" i="2"/>
  <c r="A2475" i="2"/>
  <c r="A2476" i="2"/>
  <c r="A2477" i="2"/>
  <c r="A2478" i="2"/>
  <c r="A2479" i="2"/>
  <c r="A2480" i="2"/>
  <c r="A2481" i="2"/>
  <c r="A2482" i="2"/>
  <c r="A2483" i="2"/>
  <c r="A2484" i="2"/>
  <c r="A2485" i="2"/>
  <c r="A2486" i="2"/>
  <c r="A2487" i="2"/>
  <c r="A2488" i="2"/>
  <c r="A2489" i="2"/>
  <c r="A2490" i="2"/>
  <c r="A2491" i="2"/>
  <c r="A2492" i="2"/>
  <c r="A2493" i="2"/>
  <c r="A2494" i="2"/>
  <c r="A2495" i="2"/>
  <c r="A2496" i="2"/>
  <c r="A2497" i="2"/>
  <c r="A2498" i="2"/>
  <c r="A2499" i="2"/>
  <c r="A2500" i="2"/>
  <c r="A2501" i="2"/>
  <c r="A2502" i="2"/>
  <c r="A2503" i="2"/>
  <c r="A2504" i="2"/>
  <c r="A2505" i="2"/>
  <c r="A2506" i="2"/>
  <c r="A2507" i="2"/>
  <c r="A2508" i="2"/>
  <c r="A2509" i="2"/>
  <c r="A2510" i="2"/>
  <c r="A2511" i="2"/>
  <c r="A2512" i="2"/>
  <c r="A2513" i="2"/>
  <c r="A2514" i="2"/>
  <c r="A2515" i="2"/>
  <c r="A2516" i="2"/>
  <c r="A2517" i="2"/>
  <c r="A2518" i="2"/>
  <c r="A2519" i="2"/>
  <c r="A2520" i="2"/>
  <c r="A2521" i="2"/>
  <c r="A2522" i="2"/>
  <c r="A2523" i="2"/>
  <c r="A2524" i="2"/>
  <c r="A2525" i="2"/>
  <c r="A2526" i="2"/>
  <c r="A2527" i="2"/>
  <c r="A2528" i="2"/>
  <c r="A2529" i="2"/>
  <c r="A2530" i="2"/>
  <c r="A2531" i="2"/>
  <c r="A2532" i="2"/>
  <c r="A2533" i="2"/>
  <c r="A2534" i="2"/>
  <c r="A2535" i="2"/>
  <c r="A2536" i="2"/>
  <c r="A2537" i="2"/>
  <c r="A2" i="2"/>
  <c r="I4" i="1" l="1"/>
  <c r="I5" i="1"/>
  <c r="I6" i="1"/>
  <c r="I7" i="1"/>
  <c r="I8" i="1"/>
  <c r="I9" i="1"/>
  <c r="I10" i="1"/>
  <c r="I11" i="1"/>
  <c r="I12" i="1"/>
  <c r="I13" i="1"/>
  <c r="I14" i="1"/>
  <c r="I15" i="1"/>
  <c r="I3"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46" i="1"/>
  <c r="I447" i="1"/>
  <c r="I445" i="1"/>
  <c r="I427" i="1"/>
  <c r="I426" i="1"/>
  <c r="I425" i="1"/>
  <c r="I424"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2" i="1"/>
</calcChain>
</file>

<file path=xl/sharedStrings.xml><?xml version="1.0" encoding="utf-8"?>
<sst xmlns="http://schemas.openxmlformats.org/spreadsheetml/2006/main" count="7127" uniqueCount="1922">
  <si>
    <t>Variable</t>
  </si>
  <si>
    <t>Position</t>
  </si>
  <si>
    <t>Label</t>
  </si>
  <si>
    <t>WJP variable equivalent</t>
  </si>
  <si>
    <t>WJP label</t>
  </si>
  <si>
    <t>Match</t>
  </si>
  <si>
    <t>Notes</t>
  </si>
  <si>
    <t>"</t>
  </si>
  <si>
    <t>renaming</t>
  </si>
  <si>
    <t>respondentid</t>
  </si>
  <si>
    <t>Respondent ID</t>
  </si>
  <si>
    <t>id</t>
  </si>
  <si>
    <t>q11</t>
  </si>
  <si>
    <t>Q11. Gender. Do you identify as:</t>
  </si>
  <si>
    <t>gend</t>
  </si>
  <si>
    <t>q03</t>
  </si>
  <si>
    <t>Q3. Age</t>
  </si>
  <si>
    <t>age</t>
  </si>
  <si>
    <t>q18</t>
  </si>
  <si>
    <t>Q18. Which of the following is the highest level of education or training you have completed?</t>
  </si>
  <si>
    <t>edu</t>
  </si>
  <si>
    <t>education</t>
  </si>
  <si>
    <t>Education</t>
  </si>
  <si>
    <t>edu_2</t>
  </si>
  <si>
    <t>Recoded q18 1-4 as 1, 5-11 as 2</t>
  </si>
  <si>
    <t>q17</t>
  </si>
  <si>
    <t>Q17. Which one of the following best describes your current situation?</t>
  </si>
  <si>
    <t>emp</t>
  </si>
  <si>
    <t>employment</t>
  </si>
  <si>
    <t>Employment</t>
  </si>
  <si>
    <t>emp_2</t>
  </si>
  <si>
    <t>Recoded q17 1=1, 2-9=2</t>
  </si>
  <si>
    <t>qsocialgrade</t>
  </si>
  <si>
    <t>QSocialGrade. Please indicate which occupational group best describes the main earner in your household, or which group fits best.</t>
  </si>
  <si>
    <t>work</t>
  </si>
  <si>
    <t>socialgrade</t>
  </si>
  <si>
    <t>Social Grade</t>
  </si>
  <si>
    <t>work_2</t>
  </si>
  <si>
    <t>Some sort of grouping of QSocialGrade</t>
  </si>
  <si>
    <t>county</t>
  </si>
  <si>
    <t>County. What is the name of the county where you currently live?</t>
  </si>
  <si>
    <t>?</t>
  </si>
  <si>
    <t>region</t>
  </si>
  <si>
    <t>Region.</t>
  </si>
  <si>
    <t>country_code_nuts?</t>
  </si>
  <si>
    <t>q23_1_1</t>
  </si>
  <si>
    <t>Q23_1. Are you currently or previously have been in the past two years...? - A tenant</t>
  </si>
  <si>
    <t>tenant</t>
  </si>
  <si>
    <t>q23_1_2</t>
  </si>
  <si>
    <t>Q23_1. Are you currently or previously have been in the past two years...? - A landlord</t>
  </si>
  <si>
    <t>landlord</t>
  </si>
  <si>
    <t>q23_1_3</t>
  </si>
  <si>
    <t>Q23_1. Are you currently or previously have been in the past two years...? - A home-owner</t>
  </si>
  <si>
    <t>home_owner</t>
  </si>
  <si>
    <t>q23_2_01_1</t>
  </si>
  <si>
    <t>Q23_2_1_1. Issues experienced - Including issues with buying or selling property and disputes over title or ownership boundary locations and rights of way and Land Registry matters</t>
  </si>
  <si>
    <t>AJP</t>
  </si>
  <si>
    <t>AJP_A1</t>
  </si>
  <si>
    <t>q23_2_02_1</t>
  </si>
  <si>
    <t>Q23_2_2_1. Issues experienced - Disputes about maintenance including of boundaries trees gardens</t>
  </si>
  <si>
    <t>AJP_B1</t>
  </si>
  <si>
    <t>q23_2_02_2</t>
  </si>
  <si>
    <t>Q23_2_2_2. Issues experienced - Problems or disputes to do with noise animals or unpleasant behaviour</t>
  </si>
  <si>
    <t>AJP_B2</t>
  </si>
  <si>
    <t>q23_2_02_3</t>
  </si>
  <si>
    <t>Q23_2_2_3. Issues experienced - Other disputes with neighbours such as issues with parking</t>
  </si>
  <si>
    <t>AJP_B3</t>
  </si>
  <si>
    <t>q23_2_03_1</t>
  </si>
  <si>
    <t>Q23_2_3_1. Issues experienced - Problems or disputes with your landlord over your rent or return of deposit</t>
  </si>
  <si>
    <t>AJP_C1</t>
  </si>
  <si>
    <t>q23_2_03_2</t>
  </si>
  <si>
    <t>Q23_2_3_2. Issues experienced - Problem with your landlord about the condition of your accommodation including damage/repairs</t>
  </si>
  <si>
    <t>AJP_C2</t>
  </si>
  <si>
    <t>q23_2_03_3</t>
  </si>
  <si>
    <t>Q23_2_3_3. Issues experienced - Eviction or threats of eviction or other harassment by a landlord</t>
  </si>
  <si>
    <t>AJP_C3</t>
  </si>
  <si>
    <t>q23_2_04_1</t>
  </si>
  <si>
    <t>Q23_2_4_1. Issues experienced - Issues with a tenant such as delayed/no payment of rent or dispute over a deposit</t>
  </si>
  <si>
    <t>AJP_D1</t>
  </si>
  <si>
    <t>q23_2_04_2</t>
  </si>
  <si>
    <t>Q23_2_4_2. Issues experienced - Property-related issues such as damage by tenants or access to property</t>
  </si>
  <si>
    <t>AJP_D2</t>
  </si>
  <si>
    <t>q23_2_04_3</t>
  </si>
  <si>
    <t>Q23_2_4_3. Issues experienced - Issues with tenants such as evictions or complaints</t>
  </si>
  <si>
    <t>AJP_D3</t>
  </si>
  <si>
    <t>q23_2_05_1</t>
  </si>
  <si>
    <t>Q23_2_5_1. Issues experienced - Building/planning related disputes</t>
  </si>
  <si>
    <t>AJP_E1</t>
  </si>
  <si>
    <t>q23_2_05_2</t>
  </si>
  <si>
    <t>Q23_2_5_2. Issues experienced - Issues with builders/tradespeople about the quality of construction or repairs or disputes about costs</t>
  </si>
  <si>
    <t>AJP_E2</t>
  </si>
  <si>
    <t>q23_2_05_3</t>
  </si>
  <si>
    <t>Q23_2_5_3. Issues experienced - Disputes about communal repairs/maintenance/costs</t>
  </si>
  <si>
    <t>AJP_E3</t>
  </si>
  <si>
    <t>q23_2_05_4</t>
  </si>
  <si>
    <t>Q23_2_5_4. Issues experienced - Problems or disputes concerning Local Property Tax or Council/local services</t>
  </si>
  <si>
    <t>AJP_E4</t>
  </si>
  <si>
    <t>q23_2_05_5</t>
  </si>
  <si>
    <t>Q23_2_5_5. Issues experienced - Squatters</t>
  </si>
  <si>
    <t>AJP_E5</t>
  </si>
  <si>
    <t>q23_2_05_6</t>
  </si>
  <si>
    <t>Q23_2_5_6. Issues experienced - Dispute with utilities/essential services (e.g. waste disposal water electricity internet or other utility provider)</t>
  </si>
  <si>
    <t>AJP_E6</t>
  </si>
  <si>
    <t>q23_2_05_7</t>
  </si>
  <si>
    <t>Q23_2_5_7. Issues experienced - Mortgage related issues including repossession threatened repossession or late payment</t>
  </si>
  <si>
    <t>AJP_E7</t>
  </si>
  <si>
    <t>q23_2_06_1</t>
  </si>
  <si>
    <t>Q23_2_6_1. Issues experienced - Separation and/or divorce</t>
  </si>
  <si>
    <t>AJP_F1</t>
  </si>
  <si>
    <t>q23_2_06_2</t>
  </si>
  <si>
    <t>Q23_2_6_2. Issues experienced - Violent or controlling behaviour by a current or former partner</t>
  </si>
  <si>
    <t>AJP_F2</t>
  </si>
  <si>
    <t>q23_2_06_3</t>
  </si>
  <si>
    <t>Q23_2_6_3. Issues experienced - Violent or controlling behaviour by another family member</t>
  </si>
  <si>
    <t>AJP_F3</t>
  </si>
  <si>
    <t>q23_2_06_4</t>
  </si>
  <si>
    <t>Q23_2_6_4. Issues experienced - Issues related to child access custody or child/spousal maintenance</t>
  </si>
  <si>
    <t>AJP_F4</t>
  </si>
  <si>
    <t>q23_2_06_5</t>
  </si>
  <si>
    <t>Q23_2_6_5. Issues experienced - Problems or disputes related to elderly or other dependent adult care</t>
  </si>
  <si>
    <t>AJP_F5</t>
  </si>
  <si>
    <t>q23_2_06_6</t>
  </si>
  <si>
    <t>Q23_2_6_6. Issues experienced - Disputes related to inheritance or a will</t>
  </si>
  <si>
    <t>AJP_F6</t>
  </si>
  <si>
    <t>q23_2_07_1</t>
  </si>
  <si>
    <t>Q23_2_7_1. Issues experienced - Issues obtaining or with an Irish visa or residence card renewal</t>
  </si>
  <si>
    <t>AJP_G1</t>
  </si>
  <si>
    <t>q23_2_07_2</t>
  </si>
  <si>
    <t>Q23_2_7_2. Issues experienced - Issues seeking international protection subsidiary protection or permission to remain</t>
  </si>
  <si>
    <t>AJP_G2</t>
  </si>
  <si>
    <t>q23_2_07_3</t>
  </si>
  <si>
    <t>Q23_2_7_3. Issues experienced - Issues with an overseas visa / EU residence / emigration</t>
  </si>
  <si>
    <t>AJP_G3</t>
  </si>
  <si>
    <t>q23_2_07_4</t>
  </si>
  <si>
    <t>Q23_2_7_4. Issues experienced - Issues applying for Irish naturalisation/citizenship</t>
  </si>
  <si>
    <t>AJP_G4</t>
  </si>
  <si>
    <t>q23_2_07_5</t>
  </si>
  <si>
    <t>Q23_2_7_5. Issues experienced - Other citizenship or migration related issue</t>
  </si>
  <si>
    <t>AJP_G5</t>
  </si>
  <si>
    <t>q23_2_08_1</t>
  </si>
  <si>
    <t>Q23_2_8_1. Issues experienced - A road traffic accident in which you were injured caused or made worse by someone else</t>
  </si>
  <si>
    <t>AJP_H1</t>
  </si>
  <si>
    <t>q23_2_08_2</t>
  </si>
  <si>
    <t>Q23_2_8_2. Issues experienced - A road traffic accident in which someone else was injured that you caused or made worse</t>
  </si>
  <si>
    <t>AJP_H2</t>
  </si>
  <si>
    <t>q23_2_08_3</t>
  </si>
  <si>
    <t>Q23_2_8_3. Issues experienced - Work-related accident</t>
  </si>
  <si>
    <t>AJP_H3</t>
  </si>
  <si>
    <t>q23_2_08_4</t>
  </si>
  <si>
    <t>Q23_2_8_4. Issues experienced - Wrong or negligent medical treatment</t>
  </si>
  <si>
    <t>AJP_H4</t>
  </si>
  <si>
    <t>q23_2_08_5</t>
  </si>
  <si>
    <t>Q23_2_8_5. Issues experienced - Other injury or illness caused or worsened by someone else</t>
  </si>
  <si>
    <t>AJP_H5</t>
  </si>
  <si>
    <t>q23_2_09_1</t>
  </si>
  <si>
    <t>Q23_2_9_1. Issues experienced - Issues with jobseekers benefit or jobseekers allowance</t>
  </si>
  <si>
    <t>AJP_I1</t>
  </si>
  <si>
    <t>q23_2_09_2</t>
  </si>
  <si>
    <t>Q23_2_9_2. Issues experienced - Issues related to maternity/parental government benefit</t>
  </si>
  <si>
    <t>AJP_I2</t>
  </si>
  <si>
    <t>q23_2_09_3</t>
  </si>
  <si>
    <t>Q23_2_9_3. Issues experienced - Issues related to the State pension</t>
  </si>
  <si>
    <t>AJP_I3</t>
  </si>
  <si>
    <t>q23_2_09_4</t>
  </si>
  <si>
    <t>Q23_2_9_4. Issues experienced - Issues with education-related grants (e.g. student grant scheme)</t>
  </si>
  <si>
    <t>AJP_I4</t>
  </si>
  <si>
    <t>q23_2_09_5</t>
  </si>
  <si>
    <t>Q23_2_9_5. Issues experienced - Issues with Disability Allowance</t>
  </si>
  <si>
    <t>AJP_I5</t>
  </si>
  <si>
    <t>q23_2_09_6</t>
  </si>
  <si>
    <t>Q23_2_9_6. Issues experienced - Other government benefit/payment issues</t>
  </si>
  <si>
    <t>AJP_I6</t>
  </si>
  <si>
    <t>q23_2_10_1</t>
  </si>
  <si>
    <t>Q23_2_10_1. Issues experienced - Issues obtaining an Irish Passport other ID licences or other official documents</t>
  </si>
  <si>
    <t>AJP_J1</t>
  </si>
  <si>
    <t>q23_2_10_2</t>
  </si>
  <si>
    <t>Q23_2_10_2. Issues experienced - Issues with obtaining healthcare or disability services</t>
  </si>
  <si>
    <t>AJP_J2</t>
  </si>
  <si>
    <t>q23_2_10_3</t>
  </si>
  <si>
    <t>Q23_2_10_3. Issues experienced - Issues with obtaining government/social housing (excluding issues experienced as a tenant)</t>
  </si>
  <si>
    <t>AJP_J3</t>
  </si>
  <si>
    <t>q23_2_10_4</t>
  </si>
  <si>
    <t>Q23_2_10_4. Issues experienced - Issues with obtaining education</t>
  </si>
  <si>
    <t>AJP_J4</t>
  </si>
  <si>
    <t>q23_2_11_1</t>
  </si>
  <si>
    <t>Q23_2_11_1. Issues experienced - Product/purchases not delivered or significantly delayed</t>
  </si>
  <si>
    <t>AJP_K1</t>
  </si>
  <si>
    <t>q23_2_11_2</t>
  </si>
  <si>
    <t>Q23_2_11_2. Issues experienced - Difficulty getting refunds repairs or replacements for products that were faulty damaged or not as described</t>
  </si>
  <si>
    <t>AJP_K2</t>
  </si>
  <si>
    <t>q23_2_12_1</t>
  </si>
  <si>
    <t>Q23_2_12_1. Issues experienced - Issues with over-charging or hidden or unexpected fees</t>
  </si>
  <si>
    <t>AJP_L1</t>
  </si>
  <si>
    <t>q23_2_12_2</t>
  </si>
  <si>
    <t>Q23_2_12_2. Issues experienced - Issues with quality of services or other service-related disputes</t>
  </si>
  <si>
    <t>AJP_L2</t>
  </si>
  <si>
    <t>q23_2_13_1</t>
  </si>
  <si>
    <t>Q23_2_13_1. Issues experienced - Unable to pay bills/loans/debts including buy-now-pay-later (excluding mortgage and rental payments)</t>
  </si>
  <si>
    <t>AJP_M1</t>
  </si>
  <si>
    <t>q23_2_13_2</t>
  </si>
  <si>
    <t>Q23_2_13_2. Issues experienced - Disputes about insurance coverage/claim</t>
  </si>
  <si>
    <t>AJP_M2</t>
  </si>
  <si>
    <t>q23_2_13_3</t>
  </si>
  <si>
    <t>Q23_2_13_3. Issues experienced - Disputes with the bank or other financial institutions including refusal of credit/loan/mortgage</t>
  </si>
  <si>
    <t>AJP_M3</t>
  </si>
  <si>
    <t>q23_2_13_4</t>
  </si>
  <si>
    <t>Q23_2_13_4. Issues experienced - Disputes about tax assessments/payments/refunds</t>
  </si>
  <si>
    <t>AJP_M4</t>
  </si>
  <si>
    <t>q23_2_13_5</t>
  </si>
  <si>
    <t>Q23_2_13_5. Issues experienced - Difficulties getting someone to pay money they owe you (other than as a landlord)</t>
  </si>
  <si>
    <t>AJP_M5</t>
  </si>
  <si>
    <t>q23_2_14_1</t>
  </si>
  <si>
    <t>Q23_2_14_1. Issues experienced - Loss of a job or issues with pay/wages or other benefits</t>
  </si>
  <si>
    <t>AJP_N1</t>
  </si>
  <si>
    <t>q23_2_14_2</t>
  </si>
  <si>
    <t>Q23_2_14_2. Issues experienced - Exposure to health and safety risks</t>
  </si>
  <si>
    <t>AJP_N2</t>
  </si>
  <si>
    <t>q23_2_14_3</t>
  </si>
  <si>
    <t>Q23_2_14_3. Issues experienced - Conflicts with employer or other employees including discrimination and harassment</t>
  </si>
  <si>
    <t>AJP_N3</t>
  </si>
  <si>
    <t>q23_2_14_4</t>
  </si>
  <si>
    <t>Q23_2_14_4. Issues experienced - Other employment-related disputes</t>
  </si>
  <si>
    <t>AJP_N4</t>
  </si>
  <si>
    <t>q23_3_01_1</t>
  </si>
  <si>
    <t>Q23_3_1_1. Frequency experienced - Including issues with buying or selling property and disputes over title or ownership boundary locations and rights of way and Land Registry matters</t>
  </si>
  <si>
    <t>AJP_A1_freq</t>
  </si>
  <si>
    <t>q23_3_02_1</t>
  </si>
  <si>
    <t>Q23_3_2_1. Frequency experienced - Disputes about maintenance including of boundaries trees gardens</t>
  </si>
  <si>
    <t>AJP_B1_freq</t>
  </si>
  <si>
    <t>q23_3_02_2</t>
  </si>
  <si>
    <t>Q23_3_2_2. Frequency experienced - Problems or disputes to do with noise animals or unpleasant behaviour</t>
  </si>
  <si>
    <t>AJP_B2_freq</t>
  </si>
  <si>
    <t>q23_3_02_3</t>
  </si>
  <si>
    <t>Q23_3_2_3. Frequency experienced - Other disputes with neighbours such as issues with parking</t>
  </si>
  <si>
    <t>AJP_B3_freq</t>
  </si>
  <si>
    <t>q23_3_03_1</t>
  </si>
  <si>
    <t>Q23_3_3_1. Frequency experienced - Problems or disputes with your landlord over your rent or return of deposit</t>
  </si>
  <si>
    <t>AJP_C1_freq</t>
  </si>
  <si>
    <t>q23_3_03_2</t>
  </si>
  <si>
    <t>Q23_3_3_2. Frequency experienced - Problem with your landlord about the condition of your accommodation including damage/repairs</t>
  </si>
  <si>
    <t>AJP_C2_freq</t>
  </si>
  <si>
    <t>q23_3_03_3</t>
  </si>
  <si>
    <t>Q23_3_3_3. Frequency experienced - Eviction or threats of eviction or other harassment by a landlord</t>
  </si>
  <si>
    <t>AJP_C3_freq</t>
  </si>
  <si>
    <t>q23_3_04_1</t>
  </si>
  <si>
    <t>Q23_3_4_1. Frequency experienced - Issues with a tenant such as delayed/no payment of rent or dispute over a deposit</t>
  </si>
  <si>
    <t>AJP_D1_freq</t>
  </si>
  <si>
    <t>q23_3_04_2</t>
  </si>
  <si>
    <t>Q23_3_4_2. Frequency experienced - Property-related issues such as damage by tenants or access to property</t>
  </si>
  <si>
    <t>AJP_D2_freq</t>
  </si>
  <si>
    <t>q23_3_04_3</t>
  </si>
  <si>
    <t>Q23_3_4_3. Frequency experienced - Issues with tenants such as evictions or complaints</t>
  </si>
  <si>
    <t>AJP_D3_freq</t>
  </si>
  <si>
    <t>q23_3_05_1</t>
  </si>
  <si>
    <t>Q23_3_5_1. Frequency experienced - Building/planning related disputes</t>
  </si>
  <si>
    <t>AJP_E1_freq</t>
  </si>
  <si>
    <t>q23_3_05_2</t>
  </si>
  <si>
    <t>Q23_3_5_2. Frequency experienced - Issues with builders/tradespeople about the quality of construction or repairs or disputes about costs</t>
  </si>
  <si>
    <t>AJP_E2_freq</t>
  </si>
  <si>
    <t>q23_3_05_3</t>
  </si>
  <si>
    <t>Q23_3_5_3. Frequency experienced - Disputes about communal repairs/maintenance/costs</t>
  </si>
  <si>
    <t>AJP_E3_freq</t>
  </si>
  <si>
    <t>q23_3_05_4</t>
  </si>
  <si>
    <t>Q23_3_5_4. Frequency experienced - Problems or disputes concerning Local Property Tax or Council/local services</t>
  </si>
  <si>
    <t>AJP_E4_freq</t>
  </si>
  <si>
    <t>q23_3_05_5</t>
  </si>
  <si>
    <t>Q23_3_5_5. Frequency experienced - Squatters</t>
  </si>
  <si>
    <t>AJP_E5_freq</t>
  </si>
  <si>
    <t>q23_3_05_6</t>
  </si>
  <si>
    <t>Q23_3_5_6. Frequency experienced - Dispute with utilities/essential services (e.g. waste disposal water electricity internet or other utility provider)</t>
  </si>
  <si>
    <t>AJP_E6_freq</t>
  </si>
  <si>
    <t>q23_3_05_7</t>
  </si>
  <si>
    <t>Q23_3_5_7. Frequency experienced - Mortgage related issues including repossession threatened repossession or late payment</t>
  </si>
  <si>
    <t>AJP_E7_freq</t>
  </si>
  <si>
    <t>q23_3_06_1</t>
  </si>
  <si>
    <t>Q23_3_6_1. Frequency experienced - Separation and/or divorce</t>
  </si>
  <si>
    <t>AJP_F1_freq</t>
  </si>
  <si>
    <t>q23_3_06_2</t>
  </si>
  <si>
    <t>Q23_3_6_2. Frequency experienced - Violent or controlling behaviour by a current or former partner</t>
  </si>
  <si>
    <t>AJP_F2_freq</t>
  </si>
  <si>
    <t>q23_3_06_3</t>
  </si>
  <si>
    <t>Q23_3_6_3. Frequency experienced - Violent or controlling behaviour by another family member</t>
  </si>
  <si>
    <t>AJP_F3_freq</t>
  </si>
  <si>
    <t>q23_3_06_4</t>
  </si>
  <si>
    <t>Q23_3_6_4. Frequency experienced - Issues related to child access custody or child/spousal maintenance</t>
  </si>
  <si>
    <t>AJP_F4_freq</t>
  </si>
  <si>
    <t>q23_3_06_5</t>
  </si>
  <si>
    <t>Q23_3_6_5. Frequency experienced - Problems or disputes related to elderly or other dependent adult care</t>
  </si>
  <si>
    <t>AJP_F5_freq</t>
  </si>
  <si>
    <t>q23_3_06_6</t>
  </si>
  <si>
    <t>Q23_3_6_6. Frequency experienced - Disputes related to inheritance or a will</t>
  </si>
  <si>
    <t>AJP_F6_freq</t>
  </si>
  <si>
    <t>q23_3_07_1</t>
  </si>
  <si>
    <t>Q23_3_7_1. Frequency experienced - Issues obtaining or with an Irish visa or residence card renewal</t>
  </si>
  <si>
    <t>AJP_G1_freq</t>
  </si>
  <si>
    <t>q23_3_07_2</t>
  </si>
  <si>
    <t>Q23_3_7_2. Frequency experienced - Issues seeking international protection subsidiary protection or permission to remain</t>
  </si>
  <si>
    <t>AJP_G2_freq</t>
  </si>
  <si>
    <t>q23_3_07_3</t>
  </si>
  <si>
    <t>Q23_3_7_3. Frequency experienced - Issues with an overseas visa / EU residence / emigration</t>
  </si>
  <si>
    <t>AJP_G3_freq</t>
  </si>
  <si>
    <t>q23_3_07_4</t>
  </si>
  <si>
    <t>Q23_3_7_4. Frequency experienced - Issues applying for Irish naturalisation/citizenship</t>
  </si>
  <si>
    <t>AJP_G4_freq</t>
  </si>
  <si>
    <t>q23_3_07_5</t>
  </si>
  <si>
    <t>Q23_3_7_5. Frequency experienced - Other citizenship or migration related issue</t>
  </si>
  <si>
    <t>AJP_G5_freq</t>
  </si>
  <si>
    <t>q23_3_08_1</t>
  </si>
  <si>
    <t>Q23_3_8_1. Frequency experienced - A road traffic accident in which you were injured caused or made worse by someone else</t>
  </si>
  <si>
    <t>AJP_H1_freq</t>
  </si>
  <si>
    <t>q23_3_08_2</t>
  </si>
  <si>
    <t>Q23_3_8_2. Frequency experienced - A road traffic accident in which someone else was injured that you caused or made worse</t>
  </si>
  <si>
    <t>AJP_H2_freq</t>
  </si>
  <si>
    <t>q23_3_08_3</t>
  </si>
  <si>
    <t>Q23_3_8_3. Frequency experienced - Work-related accident</t>
  </si>
  <si>
    <t>AJP_H3_freq</t>
  </si>
  <si>
    <t>q23_3_08_4</t>
  </si>
  <si>
    <t>Q23_3_8_4. Frequency experienced - Wrong or negligent medical treatment</t>
  </si>
  <si>
    <t>AJP_H4_freq</t>
  </si>
  <si>
    <t>q23_3_08_5</t>
  </si>
  <si>
    <t>Q23_3_8_5. Frequency experienced - Other injury or illness caused or worsened by someone else</t>
  </si>
  <si>
    <t>AJP_H5_freq</t>
  </si>
  <si>
    <t>q23_3_09_1</t>
  </si>
  <si>
    <t>Q23_3_9_1. Frequency experienced - Issues with jobseekers benefit or jobseekers allowance</t>
  </si>
  <si>
    <t>AJP_I1_freq</t>
  </si>
  <si>
    <t>q23_3_09_2</t>
  </si>
  <si>
    <t>Q23_3_9_2. Frequency experienced - Issues related to maternity/parental government benefit</t>
  </si>
  <si>
    <t>AJP_I2_freq</t>
  </si>
  <si>
    <t>q23_3_09_3</t>
  </si>
  <si>
    <t>Q23_3_9_3. Frequency experienced - Issues related to the State pension</t>
  </si>
  <si>
    <t>AJP_I3_freq</t>
  </si>
  <si>
    <t>q23_3_09_4</t>
  </si>
  <si>
    <t>Q23_3_9_4. Frequency experienced - Issues with education-related grants (e.g. student grant scheme)</t>
  </si>
  <si>
    <t>AJP_I4_freq</t>
  </si>
  <si>
    <t>q23_3_09_5</t>
  </si>
  <si>
    <t>Q23_3_9_5. Frequency experienced - Issues with Disability Allowance</t>
  </si>
  <si>
    <t>AJP_I5_freq</t>
  </si>
  <si>
    <t>q23_3_09_6</t>
  </si>
  <si>
    <t>Q23_3_9_6. Frequency experienced - Other government benefit/payment issues</t>
  </si>
  <si>
    <t>AJP_I6_freq</t>
  </si>
  <si>
    <t>q23_3_10_1</t>
  </si>
  <si>
    <t>Q23_3_10_1. Frequency experienced - Issues obtaining an Irish Passport other ID licences or other official documents</t>
  </si>
  <si>
    <t>AJP_J1_freq</t>
  </si>
  <si>
    <t>q23_3_10_2</t>
  </si>
  <si>
    <t>Q23_3_10_2. Frequency experienced - Issues with obtaining healthcare or disability services</t>
  </si>
  <si>
    <t>AJP_J2_freq</t>
  </si>
  <si>
    <t>q23_3_10_3</t>
  </si>
  <si>
    <t>Q23_3_10_3. Frequency experienced - Issues with obtaining government/social housing (excluding issues experienced as a tenant)</t>
  </si>
  <si>
    <t>AJP_J3_freq</t>
  </si>
  <si>
    <t>q23_3_10_4</t>
  </si>
  <si>
    <t>Q23_3_10_4. Frequency experienced - Issues with obtaining education</t>
  </si>
  <si>
    <t>AJP_J4_freq</t>
  </si>
  <si>
    <t>q23_3_11_1</t>
  </si>
  <si>
    <t>Q23_3_11_1. Frequency experienced - Product/purchases not delivered or significantly delayed</t>
  </si>
  <si>
    <t>AJP_K1_freq</t>
  </si>
  <si>
    <t>q23_3_11_2</t>
  </si>
  <si>
    <t>Q23_3_11_2. Frequency experienced - Difficulty getting refunds repairs or replacements for products that were faulty damaged or not as described</t>
  </si>
  <si>
    <t>AJP_K2_freq</t>
  </si>
  <si>
    <t>q23_3_12_1</t>
  </si>
  <si>
    <t>Q23_3_12_1. Frequency experienced - Issues with over-charging or hidden or unexpected fees</t>
  </si>
  <si>
    <t>AJP_L1_freq</t>
  </si>
  <si>
    <t>q23_3_12_2</t>
  </si>
  <si>
    <t>Q23_3_12_2. Frequency experienced - Issues with quality of services or other service-related disputes</t>
  </si>
  <si>
    <t>AJP_L2_freq</t>
  </si>
  <si>
    <t>q23_3_13_1</t>
  </si>
  <si>
    <t>Q23_3_13_1. Frequency experienced - Unable to pay bills/loans/debts including buy-now-pay-later (excluding mortgage and rental payments)</t>
  </si>
  <si>
    <t>AJP_M1_freq</t>
  </si>
  <si>
    <t>q23_3_13_2</t>
  </si>
  <si>
    <t>Q23_3_13_2. Frequency experienced - Disputes about insurance coverage/claim</t>
  </si>
  <si>
    <t>AJP_M2_freq</t>
  </si>
  <si>
    <t>q23_3_13_3</t>
  </si>
  <si>
    <t>Q23_3_13_3. Frequency experienced - Disputes with the bank or other financial institutions including refusal of credit/loan/mortgage</t>
  </si>
  <si>
    <t>AJP_M3_freq</t>
  </si>
  <si>
    <t>q23_3_13_4</t>
  </si>
  <si>
    <t>Q23_3_13_4. Frequency experienced - Disputes about tax assessments/payments/refunds</t>
  </si>
  <si>
    <t>AJP_M4_freq</t>
  </si>
  <si>
    <t>q23_3_13_5</t>
  </si>
  <si>
    <t>Q23_3_13_5. Frequency experienced - Difficulties getting someone to pay money they owe you (other than as a landlord)</t>
  </si>
  <si>
    <t>AJP_M5_freq</t>
  </si>
  <si>
    <t>q23_3_14_1</t>
  </si>
  <si>
    <t>Q23_3_14_1. Frequency experienced - Loss of a job or issues with pay/wages or other benefits</t>
  </si>
  <si>
    <t>AJP_N1_freq</t>
  </si>
  <si>
    <t>q23_3_14_2</t>
  </si>
  <si>
    <t>Q23_3_14_2. Frequency experienced - Exposure to health and safety risks</t>
  </si>
  <si>
    <t>AJP_N2_freq</t>
  </si>
  <si>
    <t>q23_3_14_3</t>
  </si>
  <si>
    <t>Q23_3_14_3. Frequency experienced - Conflicts with employer or other employees including discrimination and harassment</t>
  </si>
  <si>
    <t>AJP_N3_freq</t>
  </si>
  <si>
    <t>q23_3_14_4</t>
  </si>
  <si>
    <t>Q23_3_14_4. Frequency experienced - Other employment-related disputes</t>
  </si>
  <si>
    <t>AJP_N4_freq</t>
  </si>
  <si>
    <t>q23_2_catselected</t>
  </si>
  <si>
    <t>Q23_2. Categorization Selected</t>
  </si>
  <si>
    <t>AJP_cat_selected</t>
  </si>
  <si>
    <t>Parent category of problems selected</t>
  </si>
  <si>
    <t>q23_4_01_1</t>
  </si>
  <si>
    <t>Q23_4_1_1. Issue ranking - Including issues with buying or selling property and disputes over title or ownership boundary locations and rights of way and Land Registry matters</t>
  </si>
  <si>
    <t>AJP_A1_rank</t>
  </si>
  <si>
    <t>q23_4_02_1</t>
  </si>
  <si>
    <t>Q23_4_2_1. Issue ranking - Disputes about maintenance including of boundaries trees gardens</t>
  </si>
  <si>
    <t>AJP_B1_rank</t>
  </si>
  <si>
    <t>q23_4_02_2</t>
  </si>
  <si>
    <t>Q23_4_2_2. Issue ranking - Problems or disputes to do with noise animals or unpleasant behaviour</t>
  </si>
  <si>
    <t>AJP_B2_rank</t>
  </si>
  <si>
    <t>q23_4_02_3</t>
  </si>
  <si>
    <t>Q23_4_2_3. Issue ranking - Other disputes with neighbours such as issues with parking</t>
  </si>
  <si>
    <t>AJP_B3_rank</t>
  </si>
  <si>
    <t>q23_4_03_1</t>
  </si>
  <si>
    <t>Q23_4_3_1. Issue ranking - Problems or disputes with your landlord over your rent or return of deposit</t>
  </si>
  <si>
    <t>AJP_C1_rank</t>
  </si>
  <si>
    <t>q23_4_03_2</t>
  </si>
  <si>
    <t>Q23_4_3_2. Issue ranking - Problem with your landlord about the condition of your accommodation including damage/repairs</t>
  </si>
  <si>
    <t>AJP_C2_rank</t>
  </si>
  <si>
    <t>q23_4_03_3</t>
  </si>
  <si>
    <t>Q23_4_3_3. Issue ranking - Eviction or threats of eviction or other harassment by a landlord</t>
  </si>
  <si>
    <t>AJP_C3_rank</t>
  </si>
  <si>
    <t>q23_4_04_1</t>
  </si>
  <si>
    <t>Q23_4_4_1. Issue ranking - Issues with a tenant such as delayed/no payment of rent or dispute over a deposit</t>
  </si>
  <si>
    <t>AJP_D1_rank</t>
  </si>
  <si>
    <t>q23_4_04_2</t>
  </si>
  <si>
    <t>Q23_4_4_2. Issue ranking - Property-related issues such as damage by tenants or access to property</t>
  </si>
  <si>
    <t>AJP_D2_rank</t>
  </si>
  <si>
    <t>q23_4_04_3</t>
  </si>
  <si>
    <t>Q23_4_4_3. Issue ranking - Issues with tenants such as evictions or complaints</t>
  </si>
  <si>
    <t>AJP_D3_rank</t>
  </si>
  <si>
    <t>q23_4_05_1</t>
  </si>
  <si>
    <t>Q23_4_5_1. Issue ranking - Building/planning related disputes</t>
  </si>
  <si>
    <t>AJP_E1_rank</t>
  </si>
  <si>
    <t>q23_4_05_2</t>
  </si>
  <si>
    <t>Q23_4_5_2. Issue ranking - Issues with builders/tradespeople about the quality of construction or repairs or disputes about costs</t>
  </si>
  <si>
    <t>AJP_E2_rank</t>
  </si>
  <si>
    <t>q23_4_05_3</t>
  </si>
  <si>
    <t>Q23_4_5_3. Issue ranking - Disputes about communal repairs/maintenance/costs</t>
  </si>
  <si>
    <t>AJP_E3_rank</t>
  </si>
  <si>
    <t>q23_4_05_4</t>
  </si>
  <si>
    <t>Q23_4_5_4. Issue ranking - Problems or disputes concerning Local Property Tax or Council/local services</t>
  </si>
  <si>
    <t>AJP_E4_rank</t>
  </si>
  <si>
    <t>q23_4_05_5</t>
  </si>
  <si>
    <t>Q23_4_5_5. Issue ranking - Squatters</t>
  </si>
  <si>
    <t>AJP_E5_rank</t>
  </si>
  <si>
    <t>q23_4_05_6</t>
  </si>
  <si>
    <t>Q23_4_5_6. Issue ranking - Dispute with utilities/essential services (e.g. waste disposal water electricity internet or other utility provider)</t>
  </si>
  <si>
    <t>AJP_E6_rank</t>
  </si>
  <si>
    <t>q23_4_05_7</t>
  </si>
  <si>
    <t>Q23_4_5_7. Issue ranking - Mortgage related issues including repossession threatened repossession or late payment</t>
  </si>
  <si>
    <t>AJP_E7_rank</t>
  </si>
  <si>
    <t>q23_4_06_1</t>
  </si>
  <si>
    <t>Q23_4_6_1. Issue ranking - Separation and/or divorce</t>
  </si>
  <si>
    <t>AJP_F1_rank</t>
  </si>
  <si>
    <t>q23_4_06_2</t>
  </si>
  <si>
    <t>Q23_4_6_2. Issue ranking - Violent or controlling behaviour by a current or former partner</t>
  </si>
  <si>
    <t>AJP_F2_rank</t>
  </si>
  <si>
    <t>q23_4_06_3</t>
  </si>
  <si>
    <t>Q23_4_6_3. Issue ranking - Violent or controlling behaviour by another family member</t>
  </si>
  <si>
    <t>AJP_F3_rank</t>
  </si>
  <si>
    <t>q23_4_06_4</t>
  </si>
  <si>
    <t>Q23_4_6_4. Issue ranking - Issues related to child access custody or child/spousal maintenance</t>
  </si>
  <si>
    <t>AJP_F4_rank</t>
  </si>
  <si>
    <t>q23_4_06_5</t>
  </si>
  <si>
    <t>Q23_4_6_5. Issue ranking - Problems or disputes related to elderly or other dependent adult care</t>
  </si>
  <si>
    <t>AJP_F5_rank</t>
  </si>
  <si>
    <t>q23_4_06_6</t>
  </si>
  <si>
    <t>Q23_4_6_6. Issue ranking - Disputes related to inheritance or a will</t>
  </si>
  <si>
    <t>AJP_F6_rank</t>
  </si>
  <si>
    <t>q23_4_07_1</t>
  </si>
  <si>
    <t>Q23_4_7_1. Issue ranking - Issues obtaining or with an Irish visa or residence card renewal</t>
  </si>
  <si>
    <t>AJP_G1_rank</t>
  </si>
  <si>
    <t>q23_4_07_2</t>
  </si>
  <si>
    <t>Q23_4_7_2. Issue ranking - Issues seeking international protection subsidiary protection or permission to remain</t>
  </si>
  <si>
    <t>AJP_G2_rank</t>
  </si>
  <si>
    <t>q23_4_07_3</t>
  </si>
  <si>
    <t>Q23_4_7_3. Issue ranking - Issues with an overseas visa / EU residence / emigration</t>
  </si>
  <si>
    <t>AJP_G3_rank</t>
  </si>
  <si>
    <t>q23_4_07_4</t>
  </si>
  <si>
    <t>Q23_4_7_4. Issue ranking - Issues applying for Irish naturalisation/citizenship</t>
  </si>
  <si>
    <t>AJP_G4_rank</t>
  </si>
  <si>
    <t>q23_4_07_5</t>
  </si>
  <si>
    <t>Q23_4_7_5. Issue ranking - Other citizenship or migration related issue</t>
  </si>
  <si>
    <t>AJP_G5_rank</t>
  </si>
  <si>
    <t>q23_4_08_1</t>
  </si>
  <si>
    <t>Q23_4_8_1. Issue ranking - A road traffic accident in which you were injured caused or made worse by someone else</t>
  </si>
  <si>
    <t>AJP_H1_rank</t>
  </si>
  <si>
    <t>q23_4_08_2</t>
  </si>
  <si>
    <t>Q23_4_8_2. Issue ranking - A road traffic accident in which someone else was injured that you caused or made worse</t>
  </si>
  <si>
    <t>AJP_H2_rank</t>
  </si>
  <si>
    <t>q23_4_08_3</t>
  </si>
  <si>
    <t>Q23_4_8_3. Issue ranking - Work-related accident</t>
  </si>
  <si>
    <t>AJP_H3_rank</t>
  </si>
  <si>
    <t>q23_4_08_4</t>
  </si>
  <si>
    <t>Q23_4_8_4. Issue ranking - Wrong or negligent medical treatment</t>
  </si>
  <si>
    <t>AJP_H4_rank</t>
  </si>
  <si>
    <t>q23_4_08_5</t>
  </si>
  <si>
    <t>Q23_4_8_5. Issue ranking - Other injury or illness caused or worsened by someone else</t>
  </si>
  <si>
    <t>AJP_H5_rank</t>
  </si>
  <si>
    <t>q23_4_09_1</t>
  </si>
  <si>
    <t>Q23_4_9_1. Issue ranking - Issues with jobseekers benefit or jobseekers allowance</t>
  </si>
  <si>
    <t>AJP_I1_rank</t>
  </si>
  <si>
    <t>q23_4_09_2</t>
  </si>
  <si>
    <t>Q23_4_9_2. Issue ranking - Issues related to maternity/parental government benefit</t>
  </si>
  <si>
    <t>AJP_I2_rank</t>
  </si>
  <si>
    <t>q23_4_09_3</t>
  </si>
  <si>
    <t>Q23_4_9_3. Issue ranking - Issues related to the State pension</t>
  </si>
  <si>
    <t>AJP_I3_rank</t>
  </si>
  <si>
    <t>q23_4_09_4</t>
  </si>
  <si>
    <t>Q23_4_9_4. Issue ranking - Issues with education-related grants (e.g. student grant scheme)</t>
  </si>
  <si>
    <t>AJP_I4_rank</t>
  </si>
  <si>
    <t>q23_4_09_5</t>
  </si>
  <si>
    <t>Q23_4_9_5. Issue ranking - Issues with Disability Allowance</t>
  </si>
  <si>
    <t>AJP_I5_rank</t>
  </si>
  <si>
    <t>q23_4_09_6</t>
  </si>
  <si>
    <t>Q23_4_9_6. Issue ranking - Other government benefit/payment issues</t>
  </si>
  <si>
    <t>AJP_I6_rank</t>
  </si>
  <si>
    <t>q23_4_10_1</t>
  </si>
  <si>
    <t>Q23_4_10_1. Issue ranking - Issues obtaining an Irish Passport other ID licences or other official documents</t>
  </si>
  <si>
    <t>AJP_J1_rank</t>
  </si>
  <si>
    <t>q23_4_10_2</t>
  </si>
  <si>
    <t>Q23_4_10_2. Issue ranking - Issues with obtaining healthcare or disability services</t>
  </si>
  <si>
    <t>AJP_J2_rank</t>
  </si>
  <si>
    <t>q23_4_10_3</t>
  </si>
  <si>
    <t>Q23_4_10_3. Issue ranking - Issues with obtaining government/social housing (excluding issues experienced as a tenant)</t>
  </si>
  <si>
    <t>AJP_J3_rank</t>
  </si>
  <si>
    <t>q23_4_10_4</t>
  </si>
  <si>
    <t>Q23_4_10_4. Issue ranking - Issues with obtaining education</t>
  </si>
  <si>
    <t>AJP_J4_rank</t>
  </si>
  <si>
    <t>q23_4_11_1</t>
  </si>
  <si>
    <t>Q23_4_11_1. Issue ranking - Product/purchases not delivered or significantly delayed</t>
  </si>
  <si>
    <t>AJP_K1_rank</t>
  </si>
  <si>
    <t>q23_4_11_2</t>
  </si>
  <si>
    <t>Q23_4_11_2. Issue ranking - Difficulty getting refunds repairs or replacements for products that were faulty damaged or not as described</t>
  </si>
  <si>
    <t>AJP_K2_rank</t>
  </si>
  <si>
    <t>q23_4_12_1</t>
  </si>
  <si>
    <t>Q23_4_12_1. Issue ranking - Issues with over-charging or hidden or unexpected fees</t>
  </si>
  <si>
    <t>AJP_L1_rank</t>
  </si>
  <si>
    <t>q23_4_12_2</t>
  </si>
  <si>
    <t>Q23_4_12_2. Issue ranking - Issues with quality of services or other service-related disputes</t>
  </si>
  <si>
    <t>AJP_L2_rank</t>
  </si>
  <si>
    <t>q23_4_13_1</t>
  </si>
  <si>
    <t>Q23_4_13_1. Issue ranking - Unable to pay bills/loans/debts including buy-now-pay-later (excluding mortgage and rental payments)</t>
  </si>
  <si>
    <t>AJP_M1_rank</t>
  </si>
  <si>
    <t>q23_4_13_2</t>
  </si>
  <si>
    <t>Q23_4_13_2. Issue ranking - Disputes about insurance coverage/claim</t>
  </si>
  <si>
    <t>AJP_M2_rank</t>
  </si>
  <si>
    <t>q23_4_13_3</t>
  </si>
  <si>
    <t>Q23_4_13_3. Issue ranking - Disputes with the bank or other financial institutions including refusal of credit/loan/mortgage</t>
  </si>
  <si>
    <t>AJP_M3_rank</t>
  </si>
  <si>
    <t>q23_4_13_4</t>
  </si>
  <si>
    <t>Q23_4_13_4. Issue ranking - Disputes about tax assessments/payments/refunds</t>
  </si>
  <si>
    <t>AJP_M4_rank</t>
  </si>
  <si>
    <t>q23_4_13_5</t>
  </si>
  <si>
    <t>Q23_4_13_5. Issue ranking - Difficulties getting someone to pay money they owe you (other than as a landlord)</t>
  </si>
  <si>
    <t>AJP_M5_rank</t>
  </si>
  <si>
    <t>q23_4_14_1</t>
  </si>
  <si>
    <t>Q23_4_14_1. Issue ranking - Loss of a job or issues with pay/wages or other benefits</t>
  </si>
  <si>
    <t>AJP_N1_rank</t>
  </si>
  <si>
    <t>q23_4_14_2</t>
  </si>
  <si>
    <t>Q23_4_14_2. Issue ranking - Exposure to health and safety risks</t>
  </si>
  <si>
    <t>AJP_N2_rank</t>
  </si>
  <si>
    <t>q23_4_14_3</t>
  </si>
  <si>
    <t>Q23_4_14_3. Issue ranking - Conflicts with employer or other employees including discrimination and harassment</t>
  </si>
  <si>
    <t>AJP_N3_rank</t>
  </si>
  <si>
    <t>q23_4_14_4</t>
  </si>
  <si>
    <t>Q23_4_14_4. Issue ranking - Other employment-related disputes</t>
  </si>
  <si>
    <t>AJP_N4_rank</t>
  </si>
  <si>
    <t>q23_4_recentissue_selected</t>
  </si>
  <si>
    <t>Q23_4. Recent Issue Selected</t>
  </si>
  <si>
    <t>AJP_problem</t>
  </si>
  <si>
    <t>q24</t>
  </si>
  <si>
    <t>Q24. Is this issue still ongoing or is it done with, either because it is resolved or because you, and anyone else, have given up trying to resolve it?</t>
  </si>
  <si>
    <t>AJR_state_noresol/AJR_state_resol</t>
  </si>
  <si>
    <t>AJR_status</t>
  </si>
  <si>
    <t>q24_1_1</t>
  </si>
  <si>
    <t>Q24_1. Which of the following describes the current status of the issue? - A formal legal process is ongoing (e.g. at a court or tribunal)</t>
  </si>
  <si>
    <t>AJR_status_cur_1</t>
  </si>
  <si>
    <t>q24_1_2</t>
  </si>
  <si>
    <t>Q24_1. Which of the following describes the current status of the issue? - Another dispute resolution process outside a court or a tribunal is ongoing</t>
  </si>
  <si>
    <t>AJR_status_cur_2</t>
  </si>
  <si>
    <t>q24_1_3</t>
  </si>
  <si>
    <t>Q24_1. Which of the following describes the current status of the issue? - There is no dispute resolution process ongoing, but I am actively seeking advice or support to resolve or finish it</t>
  </si>
  <si>
    <t>AJR_status_cur_3</t>
  </si>
  <si>
    <t>q24_1_4</t>
  </si>
  <si>
    <t>Q24_1. Which of the following describes the current status of the issue? - I have not taken recent action as I am waiting for the other party to act or respond</t>
  </si>
  <si>
    <t>AJR_status_cur_4</t>
  </si>
  <si>
    <t>q24_1_5</t>
  </si>
  <si>
    <t>Q24_1. Which of the following describes the current status of the issue? - No recent action has been taken, but I still intend to resolve it</t>
  </si>
  <si>
    <t>AJR_status_cur_5</t>
  </si>
  <si>
    <t>q24_1_6</t>
  </si>
  <si>
    <t>Q24_1. Which of the following describes the current status of the issue? - No recent action has been taken</t>
  </si>
  <si>
    <t>AJR_status_cur_6</t>
  </si>
  <si>
    <t>q24_1_7</t>
  </si>
  <si>
    <t>Q24_1. Which of the following describes the current status of the issue? - Other, please specify:</t>
  </si>
  <si>
    <t>AJR_status_cur_7</t>
  </si>
  <si>
    <t>q24_1_8</t>
  </si>
  <si>
    <t>Q24_1. Which of the following describes the current status of the issue? - Don't know</t>
  </si>
  <si>
    <t>AJR_status_cur_8</t>
  </si>
  <si>
    <t>q24_1_9</t>
  </si>
  <si>
    <t>Q24_1. Which of the following describes the current status of the issue? - Prefer not to say</t>
  </si>
  <si>
    <t>AJR_status_cur_9</t>
  </si>
  <si>
    <t>q25_1_01</t>
  </si>
  <si>
    <t>Q25_1. Help sought - A court (small claims court, District Court, High Court, Court of Appeal, Supreme Court, Europe etc)</t>
  </si>
  <si>
    <t>AJD_inst_advice, AJD_adviser_1-99</t>
  </si>
  <si>
    <t>AJD_adviser_1</t>
  </si>
  <si>
    <t>q25_1_02</t>
  </si>
  <si>
    <t>Q25_1. Help sought - A tribunal (e.g. International Protection Appeals Tribunal, Workplace Relations Commission, Social Welfare Appeals Office,</t>
  </si>
  <si>
    <t>AJD_adviser_2</t>
  </si>
  <si>
    <t>q25_1_03</t>
  </si>
  <si>
    <t>Q25_1. Help sought - An Ombudsman (e.g. Financial Services Ombudsman)</t>
  </si>
  <si>
    <t>AJD_adviser_3</t>
  </si>
  <si>
    <t>q25_1_04</t>
  </si>
  <si>
    <t>Q25_1. Help sought - The Gardai/police (or other law-enforcement)</t>
  </si>
  <si>
    <t>AJD_adviser_4</t>
  </si>
  <si>
    <t>q25_1_05</t>
  </si>
  <si>
    <t>Q25_1. Help sought - Family Mediation Service</t>
  </si>
  <si>
    <t>AJD_adviser_5</t>
  </si>
  <si>
    <t>q25_1_06</t>
  </si>
  <si>
    <t>Q25_1. Help sought - Another mediation, conciliation or other complaint or dispute resolution service (including online or commercial services)</t>
  </si>
  <si>
    <t>AJD_adviser_6</t>
  </si>
  <si>
    <t>q25_1_07</t>
  </si>
  <si>
    <t>Q25_1. Help sought - A private solicitor or person working in a solicitor's office</t>
  </si>
  <si>
    <t>AJD_adviser_7</t>
  </si>
  <si>
    <t>q25_1_08</t>
  </si>
  <si>
    <t>Q25_1. Help sought - A private barrister or person working in a barrister's office</t>
  </si>
  <si>
    <t>AJD_adviser_8</t>
  </si>
  <si>
    <t>q25_1_09</t>
  </si>
  <si>
    <t>Q25_1. Help sought - A Legal Aid Board Law Centre</t>
  </si>
  <si>
    <t>AJD_adviser_9</t>
  </si>
  <si>
    <t>q25_1_10</t>
  </si>
  <si>
    <t>Q25_1. Help sought - Another law centre such as the Free Legal Advice Centres</t>
  </si>
  <si>
    <t>AJD_adviser_10</t>
  </si>
  <si>
    <t>q25_1_11</t>
  </si>
  <si>
    <t>Q25_1. Help sought - A government department, local council or government agency (e.g. a Housing or Social Welfare officer)</t>
  </si>
  <si>
    <t>AJD_adviser_11</t>
  </si>
  <si>
    <t>q25_1_12</t>
  </si>
  <si>
    <t>Q25_1. Help sought - A non-legal professional, organisation or help line (e.g. Citizens Information Centre, Citizens Information Phone Centre,</t>
  </si>
  <si>
    <t>AJD_adviser_12</t>
  </si>
  <si>
    <t>q25_1_13</t>
  </si>
  <si>
    <t>Q25_1. Help sought - Other person of standing in the local community (e.g. a politician, teacher, councillor, TDs or senator)</t>
  </si>
  <si>
    <t>AJD_adviser_13</t>
  </si>
  <si>
    <t>q25_1_14</t>
  </si>
  <si>
    <t>Q25_1. Help sought - Online search (e.g. Google)</t>
  </si>
  <si>
    <t>AJD_adviser_14</t>
  </si>
  <si>
    <t>q25_1_15</t>
  </si>
  <si>
    <t>Q25_1. Help sought - Social media (e.g. Facebook, X, Tik Tok, Reddit, Quora, Instagram)</t>
  </si>
  <si>
    <t>AJD_adviser_15</t>
  </si>
  <si>
    <t>q25_1_16</t>
  </si>
  <si>
    <t>Q25_1. Help sought - AI tools (e.g. ChatGPT, Gemini or other ChatBot)</t>
  </si>
  <si>
    <t>AJD_adviser_16</t>
  </si>
  <si>
    <t>q25_1_17</t>
  </si>
  <si>
    <t>Q25_1. Help sought - Another person (e.g. a friend, family member, or acquaintance [not a professional])</t>
  </si>
  <si>
    <t>AJD_adviser_17</t>
  </si>
  <si>
    <t>q25_7_01</t>
  </si>
  <si>
    <t>Q25_7. How helpful were each of the following? - A court</t>
  </si>
  <si>
    <t>AJD_adviser_help_1</t>
  </si>
  <si>
    <t>q25_7_02</t>
  </si>
  <si>
    <t>Q25_7. How helpful were each of the following? - A tribunal</t>
  </si>
  <si>
    <t>AJD_adviser_help_2</t>
  </si>
  <si>
    <t>q25_7_03</t>
  </si>
  <si>
    <t>Q25_7. How helpful were each of the following? - An Ombudsman</t>
  </si>
  <si>
    <t>AJD_adviser_help_3</t>
  </si>
  <si>
    <t>q25_7_04</t>
  </si>
  <si>
    <t>Q25_7. How helpful were each of the following? - The Gardai/police</t>
  </si>
  <si>
    <t>AJD_adviser_help_4</t>
  </si>
  <si>
    <t>q25_7_05</t>
  </si>
  <si>
    <t>Q25_7. How helpful were each of the following? - Family Mediation Service</t>
  </si>
  <si>
    <t>AJD_adviser_help_5</t>
  </si>
  <si>
    <t>q25_7_06</t>
  </si>
  <si>
    <t>Q25_7. How helpful were each of the following? - Another mediation, conciliation or other complaint or dispute resolution service</t>
  </si>
  <si>
    <t>AJD_adviser_help_6</t>
  </si>
  <si>
    <t>q25_7_07</t>
  </si>
  <si>
    <t>Q25_7. How helpful were each of the following? - A private solicitor or person working in a solicitor's office</t>
  </si>
  <si>
    <t>AJD_adviser_help_7</t>
  </si>
  <si>
    <t>q25_7_08</t>
  </si>
  <si>
    <t>Q25_7. How helpful were each of the following? - A private barrister or person working in a barrister's office</t>
  </si>
  <si>
    <t>AJD_adviser_help_8</t>
  </si>
  <si>
    <t>q25_7_09</t>
  </si>
  <si>
    <t>Q25_7. How helpful were each of the following? - A Legal Aid Board Law Centre</t>
  </si>
  <si>
    <t>AJD_adviser_help_9</t>
  </si>
  <si>
    <t>q25_7_10</t>
  </si>
  <si>
    <t>Q25_7. How helpful were each of the following? - Another law centre such as the Free Legal Advice Centres</t>
  </si>
  <si>
    <t>AJD_adviser_help_10</t>
  </si>
  <si>
    <t>q25_7_11</t>
  </si>
  <si>
    <t>Q25_7. How helpful were each of the following? - A government department, local council or government agency</t>
  </si>
  <si>
    <t>AJD_adviser_help_11</t>
  </si>
  <si>
    <t>q25_7_12</t>
  </si>
  <si>
    <t>Q25_7. How helpful were each of the following? - A non-legal professional, organisation or help line</t>
  </si>
  <si>
    <t>AJD_adviser_help_12</t>
  </si>
  <si>
    <t>q25_7_13</t>
  </si>
  <si>
    <t>Q25_7. How helpful were each of the following? - Other person of standing in the local community</t>
  </si>
  <si>
    <t>AJD_adviser_help_13</t>
  </si>
  <si>
    <t>q25_7_14</t>
  </si>
  <si>
    <t>Q25_7. How helpful were each of the following? - Online search</t>
  </si>
  <si>
    <t>AJD_adviser_help_14</t>
  </si>
  <si>
    <t>q25_7_15</t>
  </si>
  <si>
    <t>Q25_7. How helpful were each of the following? - Social media</t>
  </si>
  <si>
    <t>AJD_adviser_help_15</t>
  </si>
  <si>
    <t>q25_7_16</t>
  </si>
  <si>
    <t>Q25_7. How helpful were each of the following? - AI tools</t>
  </si>
  <si>
    <t>AJD_adviser_help_16</t>
  </si>
  <si>
    <t>q25_7_17</t>
  </si>
  <si>
    <t>Q25_7. How helpful were each of the following? - Another person</t>
  </si>
  <si>
    <t>AJD_adviser_help_17</t>
  </si>
  <si>
    <t>q25_3_01</t>
  </si>
  <si>
    <t>Q25_3. What was the reason you didn't obtain assistance from an organisation or professional to help you better understand the issue? - There was no real disagreement or problem</t>
  </si>
  <si>
    <t>AJD_noadvice_reason_1</t>
  </si>
  <si>
    <t>q25_3_02</t>
  </si>
  <si>
    <t>Q25_3. What was the reason you didn't obtain assistance from an organisation or professional to help you better understand the issue? - I felt the other person or organisation was in the right</t>
  </si>
  <si>
    <t>AJD_noadvice_reason_2</t>
  </si>
  <si>
    <t>q25_3_03</t>
  </si>
  <si>
    <t>Q25_3. What was the reason you didn't obtain assistance from an organisation or professional to help you better understand the issue? - The issue resolved itself without needing help</t>
  </si>
  <si>
    <t>AJD_noadvice_reason_3</t>
  </si>
  <si>
    <t>q25_3_04</t>
  </si>
  <si>
    <t>Q25_3. What was the reason you didn't obtain assistance from an organisation or professional to help you better understand the issue? - I got all the help I needed from other organisations/people</t>
  </si>
  <si>
    <t>AJD_noadvice_reason_4</t>
  </si>
  <si>
    <t>q25_3_05</t>
  </si>
  <si>
    <t>Q25_3. What was the reason you didn't obtain assistance from an organisation or professional to help you better understand the issue? - I didn't feel I needed help</t>
  </si>
  <si>
    <t>AJD_noadvice_reason_5</t>
  </si>
  <si>
    <t>q25_3_06</t>
  </si>
  <si>
    <t>Q25_3. What was the reason you didn't obtain assistance from an organisation or professional to help you better understand the issue? - I didn't think the issue was serious enough</t>
  </si>
  <si>
    <t>AJD_noadvice_reason_6</t>
  </si>
  <si>
    <t>q25_3_07</t>
  </si>
  <si>
    <t>Q25_3. What was the reason you didn't obtain assistance from an organisation or professional to help you better understand the issue? - I was concerned about how much time it would take</t>
  </si>
  <si>
    <t>AJD_noadvice_reason_7</t>
  </si>
  <si>
    <t>q25_3_08</t>
  </si>
  <si>
    <t>Q25_3. What was the reason you didn't obtain assistance from an organisation or professional to help you better understand the issue? - I was concerned about how much it would cost</t>
  </si>
  <si>
    <t>AJD_noadvice_reason_8</t>
  </si>
  <si>
    <t>q25_3_09</t>
  </si>
  <si>
    <t>Q25_3. What was the reason you didn't obtain assistance from an organisation or professional to help you better understand the issue? - It was difficult to find someone nearby who could help me</t>
  </si>
  <si>
    <t>AJD_noadvice_reason_9</t>
  </si>
  <si>
    <t>q25_3_10</t>
  </si>
  <si>
    <t>Q25_3. What was the reason you didn't obtain assistance from an organisation or professional to help you better understand the issue? - I thought it would be too stressful</t>
  </si>
  <si>
    <t>AJD_noadvice_reason_10</t>
  </si>
  <si>
    <t>q25_3_11</t>
  </si>
  <si>
    <t>Q25_3. What was the reason you didn't obtain assistance from an organisation or professional to help you better understand the issue? - I was afraid it would damage my relationship with the other person or organisation</t>
  </si>
  <si>
    <t>AJD_noadvice_reason_11</t>
  </si>
  <si>
    <t>q25_3_12</t>
  </si>
  <si>
    <t>Q25_3. What was the reason you didn't obtain assistance from an organisation or professional to help you better understand the issue? - I was scared to take action or ask for help</t>
  </si>
  <si>
    <t>AJD_noadvice_reason_12</t>
  </si>
  <si>
    <t>q25_3_13</t>
  </si>
  <si>
    <t>Q25_3. What was the reason you didn't obtain assistance from an organisation or professional to help you better understand the issue? - I didn't know where or how to find information or advice</t>
  </si>
  <si>
    <t>AJD_noadvice_reason_13</t>
  </si>
  <si>
    <t>q25_3_14</t>
  </si>
  <si>
    <t>Q25_3. What was the reason you didn't obtain assistance from an organisation or professional to help you better understand the issue? - I didn't think it would change the outcome</t>
  </si>
  <si>
    <t>AJD_noadvice_reason_14</t>
  </si>
  <si>
    <t>q25_3_15</t>
  </si>
  <si>
    <t>Q25_3. What was the reason you didn't obtain assistance from an organisation or professional to help you better understand the issue? - I had tried seeking help before and it wasn't helpful</t>
  </si>
  <si>
    <t>AJD_noadvice_reason_15</t>
  </si>
  <si>
    <t>q25_3_16</t>
  </si>
  <si>
    <t>Q25_3. What was the reason you didn't obtain assistance from an organisation or professional to help you better understand the issue? - Someone told me not to get advice or information</t>
  </si>
  <si>
    <t>AJD_noadvice_reason_16</t>
  </si>
  <si>
    <t>q25_3_17</t>
  </si>
  <si>
    <t>Q25_3. What was the reason you didn't obtain assistance from an organisation or professional to help you better understand the issue? - Other reason, please specify:</t>
  </si>
  <si>
    <t>AJD_noadvice_reason_17</t>
  </si>
  <si>
    <t>q25_3_18</t>
  </si>
  <si>
    <t>Q25_3. What was the reason you didn't obtain assistance from an organisation or professional to help you better understand the issue? - Don't know</t>
  </si>
  <si>
    <t>AJD_noadvice_reason_18</t>
  </si>
  <si>
    <t>q25_3_19</t>
  </si>
  <si>
    <t>Q25_3. What was the reason you didn't obtain assistance from an organisation or professional to help you better understand the issue? - Prefer not to say</t>
  </si>
  <si>
    <t>AJD_noadvice_reason_19</t>
  </si>
  <si>
    <t>q25_5</t>
  </si>
  <si>
    <t>Q25_5. Just to check, have you done / did you do anything, or do you expect to do anything to resolve or end this issue, such as talking to the other party?</t>
  </si>
  <si>
    <t>AJR_action</t>
  </si>
  <si>
    <t>q25_6_01</t>
  </si>
  <si>
    <t>Q25_6. For which of the following reasons, if any, haven't you done / didn't you do anything to try to resolve the issue? - It wasn't very important</t>
  </si>
  <si>
    <t>AJD_noadvice_reason</t>
  </si>
  <si>
    <t>AJR_noaction_1</t>
  </si>
  <si>
    <t>q25_6_02</t>
  </si>
  <si>
    <t>Q25_6. For which of the following reasons, if any, haven't you done / didn't you do anything to try to resolve the issue? - It was resolved quickly</t>
  </si>
  <si>
    <t>AJR_noaction_2</t>
  </si>
  <si>
    <t>q25_6_03</t>
  </si>
  <si>
    <t>Q25_6. For which of the following reasons, if any, haven't you done / didn't you do anything to try to resolve the issue? - It would take too long</t>
  </si>
  <si>
    <t>AJR_noaction_3</t>
  </si>
  <si>
    <t>q25_6_04</t>
  </si>
  <si>
    <t>Q25_6. For which of the following reasons, if any, haven't you done / didn't you do anything to try to resolve the issue? - It would be too stressful</t>
  </si>
  <si>
    <t>AJR_noaction_4</t>
  </si>
  <si>
    <t>q25_6_05</t>
  </si>
  <si>
    <t>Q25_6. For which of the following reasons, if any, haven't you done / didn't you do anything to try to resolve the issue? - It would cost too much</t>
  </si>
  <si>
    <t>AJR_noaction_5</t>
  </si>
  <si>
    <t>q25_6_06</t>
  </si>
  <si>
    <t>Q25_6. For which of the following reasons, if any, haven't you done / didn't you do anything to try to resolve the issue? - It would damage the relationship with the other side</t>
  </si>
  <si>
    <t>AJR_noaction_6</t>
  </si>
  <si>
    <t>q25_6_07</t>
  </si>
  <si>
    <t>Q25_6. For which of the following reasons, if any, haven't you done / didn't you do anything to try to resolve the issue? - It would make you uncomfortable/ you were too ashamed or embarrassed to ask for help</t>
  </si>
  <si>
    <t>AJR_noaction_7</t>
  </si>
  <si>
    <t>q25_6_08</t>
  </si>
  <si>
    <t>Q25_6. For which of the following reasons, if any, haven't you done / didn't you do anything to try to resolve the issue? - It would make no difference</t>
  </si>
  <si>
    <t>AJR_noaction_8</t>
  </si>
  <si>
    <t>q25_6_09</t>
  </si>
  <si>
    <t>Q25_6. For which of the following reasons, if any, haven't you done / didn't you do anything to try to resolve the issue? - You had bigger issues</t>
  </si>
  <si>
    <t>AJR_noaction_9</t>
  </si>
  <si>
    <t>q25_6_10</t>
  </si>
  <si>
    <t>Q25_6. For which of the following reasons, if any, haven't you done / didn't you do anything to try to resolve the issue? - You were at fault or there was no dispute</t>
  </si>
  <si>
    <t>AJR_noaction_10</t>
  </si>
  <si>
    <t>q25_6_11</t>
  </si>
  <si>
    <t>Q25_6. For which of the following reasons, if any, haven't you done / didn't you do anything to try to resolve the issue? - You didn't know what to do</t>
  </si>
  <si>
    <t>AJR_noaction_11</t>
  </si>
  <si>
    <t>q25_6_12</t>
  </si>
  <si>
    <t>Q25_6. For which of the following reasons, if any, haven't you done / didn't you do anything to try to resolve the issue? - You didn't need information or advice</t>
  </si>
  <si>
    <t>AJR_noaction_12</t>
  </si>
  <si>
    <t>q25_6_13</t>
  </si>
  <si>
    <t>Q25_6. For which of the following reasons, if any, haven't you done / didn't you do anything to try to resolve the issue? - Other reason (please specify)</t>
  </si>
  <si>
    <t>AJR_noaction_13</t>
  </si>
  <si>
    <t>q26_01</t>
  </si>
  <si>
    <t>Q26. Issue resolved - A court (small claims court, District Circuit, High Court, Court of Appeal, Supreme Court, Europe etc)</t>
  </si>
  <si>
    <t>AJR_resolution, AJR mechanisms</t>
  </si>
  <si>
    <t>AJR_drm_1</t>
  </si>
  <si>
    <t>q26_02</t>
  </si>
  <si>
    <t>Q26. Issue resolved - A tribunal (e.g. international protection appeals tribunal - IPAT, Workplace Relations Commission, Social Welfare Appeals Office,</t>
  </si>
  <si>
    <t>AJR_drm_2</t>
  </si>
  <si>
    <t>q26_03</t>
  </si>
  <si>
    <t>Q26. Issue resolved - An Ombudsman (e.g. Financial Services Ombudsman)</t>
  </si>
  <si>
    <t>AJR_drm_3</t>
  </si>
  <si>
    <t>q26_04</t>
  </si>
  <si>
    <t>Q26. Issue resolved - The Gardai/police (or other law-enforcement)</t>
  </si>
  <si>
    <t>AJR_drm_4</t>
  </si>
  <si>
    <t>q26_05</t>
  </si>
  <si>
    <t>Q26. Issue resolved - A formal mediation, conciliation or other complaint or dispute resolution service (including Family Mediation Service)</t>
  </si>
  <si>
    <t>AJR_drm_5</t>
  </si>
  <si>
    <t>q26_06</t>
  </si>
  <si>
    <t>Q26. Issue resolved - A lawyer, or person working in a lawyer's office</t>
  </si>
  <si>
    <t>AJR_drm_6</t>
  </si>
  <si>
    <t>q26_07</t>
  </si>
  <si>
    <t>Q26. Issue resolved - A government department, local council or government agency or a person within them appointed to make decisions (e.g. a Housing or Social Welfare officer)</t>
  </si>
  <si>
    <t>AJR_drm_7</t>
  </si>
  <si>
    <t>q26_08</t>
  </si>
  <si>
    <t>Q26. Issue resolved - A community leader, or other person of standing (e.g. a politician, teacher, councillor, TDs or senator, or priest)</t>
  </si>
  <si>
    <t>AJR_drm_8</t>
  </si>
  <si>
    <t>q26_09</t>
  </si>
  <si>
    <t>Q26. Issue resolved - Other dispute resolution service, including online and commercial services</t>
  </si>
  <si>
    <t>AJR_drm_9</t>
  </si>
  <si>
    <t>q26_10</t>
  </si>
  <si>
    <t>Q26. Issue resolved - Other person (e.g. a friend, family member, or acquaintance not in a professional capacity)</t>
  </si>
  <si>
    <t>AJR_drm_10</t>
  </si>
  <si>
    <t>q26_11</t>
  </si>
  <si>
    <t>Q26. Issue resolved - Other professional or organisation</t>
  </si>
  <si>
    <t>AJR_drm_11</t>
  </si>
  <si>
    <t>q27_01</t>
  </si>
  <si>
    <t>Q27. What was the reason you have not turned / did not turn to a professional or organisation to resolve the issue? - The issue is/was not important enough</t>
  </si>
  <si>
    <t>AJR_noresol_reason</t>
  </si>
  <si>
    <t>AJR_noresol_reason_1</t>
  </si>
  <si>
    <t>q27_02</t>
  </si>
  <si>
    <t>Q27. What was the reason you have not turned / did not turn to a professional or organisation to resolve the issue? - The issue resolved so I didn't need to</t>
  </si>
  <si>
    <t>AJR_noresol_reason_2</t>
  </si>
  <si>
    <t>q27_03</t>
  </si>
  <si>
    <t>Q27. What was the reason you have not turned / did not turn to a professional or organisation to resolve the issue? - I was/am confident that I could/can easily resolve it by myself</t>
  </si>
  <si>
    <t>AJR_noresol_reason_3</t>
  </si>
  <si>
    <t>q27_04</t>
  </si>
  <si>
    <t>Q27. What was the reason you have not turned / did not turn to a professional or organisation to resolve the issue? - I was/am confident that I could/can easily resolve it with the help I got/am getting</t>
  </si>
  <si>
    <t>AJR_noresol_reason_4</t>
  </si>
  <si>
    <t>q27_05</t>
  </si>
  <si>
    <t>Q27. What was the reason you have not turned / did not turn to a professional or organisation to resolve the issue? - Up to the other party to take this action</t>
  </si>
  <si>
    <t>AJR_noresol_reason_5</t>
  </si>
  <si>
    <t>q27_06</t>
  </si>
  <si>
    <t>Q27. What was the reason you have not turned / did not turn to a professional or organisation to resolve the issue? - I caused the issue</t>
  </si>
  <si>
    <t>AJR_noresol_reason_6</t>
  </si>
  <si>
    <t>q27_07</t>
  </si>
  <si>
    <t>Q27. What was the reason you have not turned / did not turn to a professional or organisation to resolve the issue? - I did not know where to go</t>
  </si>
  <si>
    <t>AJR_noresol_reason_7</t>
  </si>
  <si>
    <t>q27_08</t>
  </si>
  <si>
    <t>Q27. What was the reason you have not turned / did not turn to a professional or organisation to resolve the issue? - I could not obtain legal assistance</t>
  </si>
  <si>
    <t>AJR_noresol_reason_8</t>
  </si>
  <si>
    <t>q27_09</t>
  </si>
  <si>
    <t>Q27. What was the reason you have not turned / did not turn to a professional or organisation to resolve the issue? - It was too expensive / I was fearful of what it could cost</t>
  </si>
  <si>
    <t>AJR_noresol_reason_9</t>
  </si>
  <si>
    <t>q27_10</t>
  </si>
  <si>
    <t>Q27. What was the reason you have not turned / did not turn to a professional or organisation to resolve the issue? - It was too far away or hard to reach</t>
  </si>
  <si>
    <t>AJR_noresol_reason_10</t>
  </si>
  <si>
    <t>q27_11</t>
  </si>
  <si>
    <t>Q27. What was the reason you have not turned / did not turn to a professional or organisation to resolve the issue? - It was too inconvenient</t>
  </si>
  <si>
    <t>AJR_noresol_reason_11</t>
  </si>
  <si>
    <t>q27_12</t>
  </si>
  <si>
    <t>Q27. What was the reason you have not turned / did not turn to a professional or organisation to resolve the issue? - I did not trust the authorities</t>
  </si>
  <si>
    <t>AJR_noresol_reason_12</t>
  </si>
  <si>
    <t>q27_13</t>
  </si>
  <si>
    <t>Q27. What was the reason you have not turned / did not turn to a professional or organisation to resolve the issue? - I did not think they could help</t>
  </si>
  <si>
    <t>AJR_noresol_reason_13</t>
  </si>
  <si>
    <t>q27_14</t>
  </si>
  <si>
    <t>Q27. What was the reason you have not turned / did not turn to a professional or organisation to resolve the issue? - I was afraid of the consequences for me/my family</t>
  </si>
  <si>
    <t>AJR_noresol_reason_14</t>
  </si>
  <si>
    <t>q27_15</t>
  </si>
  <si>
    <t>Q27. What was the reason you have not turned / did not turn to a professional or organisation to resolve the issue? - I did not know it was possible to turn somewhere to resolve the issue</t>
  </si>
  <si>
    <t>AJR_noresol_reason_15</t>
  </si>
  <si>
    <t>q27_16</t>
  </si>
  <si>
    <t>Q27. What was the reason you have not turned / did not turn to a professional or organisation to resolve the issue? - Other reason:</t>
  </si>
  <si>
    <t>AJR_noresol_reason_16</t>
  </si>
  <si>
    <t>q27_17</t>
  </si>
  <si>
    <t>Q27. What was the reason you have not turned / did not turn to a professional or organisation to resolve the issue? - Don't know</t>
  </si>
  <si>
    <t>AJR_noresol_reason_17</t>
  </si>
  <si>
    <t>q27_18</t>
  </si>
  <si>
    <t>Q27. What was the reason you have not turned / did not turn to a professional or organisation to resolve the issue? - Prefer not to say</t>
  </si>
  <si>
    <t>AJR_noresol_reason_18</t>
  </si>
  <si>
    <t>q29_1_it01_a</t>
  </si>
  <si>
    <t>Q29_1_iter01_a. Agree or Disagree - A court - Both parties had the same opportunity to explain their position</t>
  </si>
  <si>
    <t>AJR_drm_1_a</t>
  </si>
  <si>
    <t>q29_1_it01_b</t>
  </si>
  <si>
    <t>Q29_1_iter01_b. Agree or Disagree - A court - The justification for the decision/outcome was clearly explained to me</t>
  </si>
  <si>
    <t>AJR_drm_1_b</t>
  </si>
  <si>
    <t>q29_1_it01_c</t>
  </si>
  <si>
    <t>Q29_1_iter01_c. Agree or Disagree - A court - The process was efficient</t>
  </si>
  <si>
    <t>AJR_drm_1_c</t>
  </si>
  <si>
    <t>q29_1_it01_d</t>
  </si>
  <si>
    <t>Q29_1_iter01_d. Agree or Disagree - A court - The process was affordable</t>
  </si>
  <si>
    <t>AJR_drm_1_d</t>
  </si>
  <si>
    <t>q29_1_it01_e</t>
  </si>
  <si>
    <t>Q29_1_iter01_e. Agree or Disagree - A court - The duration/length of the process was reasonable</t>
  </si>
  <si>
    <t>AJR_drm_1_e</t>
  </si>
  <si>
    <t>q29_1_it01_f</t>
  </si>
  <si>
    <t>Q29_1_iter01_f. Agree or Disagree - A court - The process was fair</t>
  </si>
  <si>
    <t>AJR_fair</t>
  </si>
  <si>
    <t>AJR_drm_1_f</t>
  </si>
  <si>
    <t>q29_1_it01_g</t>
  </si>
  <si>
    <t>Q29_1_iter01_g. Agree or Disagree - A court - The outcome was fair</t>
  </si>
  <si>
    <t>AJR_drm_1_g</t>
  </si>
  <si>
    <t>q29_1_it01_h</t>
  </si>
  <si>
    <t>Q29_1_iter01_h. Agree or Disagree - A court - &lt;&gt; was helpful</t>
  </si>
  <si>
    <t>AJR_drm_1_h</t>
  </si>
  <si>
    <t>q29_1_it01_i</t>
  </si>
  <si>
    <t>Q29_1_iter01_i. Agree or Disagree - A court - &lt;&gt; took my concerns and experiences seriously</t>
  </si>
  <si>
    <t>AJR_drm_1_i</t>
  </si>
  <si>
    <t>q29_1_it02_a</t>
  </si>
  <si>
    <t>Q29_1_iter02_a. Agree or Disagree - A tribunal - Both parties had the same opportunity to explain their position</t>
  </si>
  <si>
    <t>AJR_drm_2_a</t>
  </si>
  <si>
    <t>q29_1_it02_b</t>
  </si>
  <si>
    <t>Q29_1_iter02_b. Agree or Disagree - A tribunal - The justification for the decision/outcome was clearly explained to me</t>
  </si>
  <si>
    <t>AJR_drm_2_b</t>
  </si>
  <si>
    <t>q29_1_it02_c</t>
  </si>
  <si>
    <t>Q29_1_iter02_c. Agree or Disagree - A tribunal - The process was efficient</t>
  </si>
  <si>
    <t>AJR_drm_2_c</t>
  </si>
  <si>
    <t>q29_1_it02_d</t>
  </si>
  <si>
    <t>Q29_1_iter02_d. Agree or Disagree - A tribunal - The process was affordable</t>
  </si>
  <si>
    <t>AJR_drm_2_d</t>
  </si>
  <si>
    <t>q29_1_it02_e</t>
  </si>
  <si>
    <t>Q29_1_iter02_e. Agree or Disagree - A tribunal - The duration/length of the process was reasonable</t>
  </si>
  <si>
    <t>AJR_drm_2_e</t>
  </si>
  <si>
    <t>q29_1_it02_f</t>
  </si>
  <si>
    <t>Q29_1_iter02_f. Agree or Disagree - A tribunal - The process was fair</t>
  </si>
  <si>
    <t>AJR_drm_2_f</t>
  </si>
  <si>
    <t>q29_1_it02_g</t>
  </si>
  <si>
    <t>Q29_1_iter02_g. Agree or Disagree - A tribunal - The outcome was fair</t>
  </si>
  <si>
    <t>AJR_drm_2_g</t>
  </si>
  <si>
    <t>q29_1_it02_h</t>
  </si>
  <si>
    <t>Q29_1_iter02_h. Agree or Disagree - A tribunal - &lt;&gt; was helpful</t>
  </si>
  <si>
    <t>AJR_drm_2_h</t>
  </si>
  <si>
    <t>q29_1_it02_i</t>
  </si>
  <si>
    <t>Q29_1_iter02_i. Agree or Disagree - A tribunal - &lt;&gt; took my concerns and experiences seriously</t>
  </si>
  <si>
    <t>AJR_drm_2_i</t>
  </si>
  <si>
    <t>q29_1_it03_a</t>
  </si>
  <si>
    <t>Q29_1_iter03_a. Agree or Disagree - An Ombudsman - Both parties had the same opportunity to explain their position</t>
  </si>
  <si>
    <t>AJR_drm_3_a</t>
  </si>
  <si>
    <t>q29_1_it03_b</t>
  </si>
  <si>
    <t>Q29_1_iter03_b. Agree or Disagree - An Ombudsman - The justification for the decision/outcome was clearly explained to me</t>
  </si>
  <si>
    <t>AJR_drm_3_b</t>
  </si>
  <si>
    <t>q29_1_it03_c</t>
  </si>
  <si>
    <t>Q29_1_iter03_c. Agree or Disagree - An Ombudsman - The process was efficient</t>
  </si>
  <si>
    <t>AJR_drm_3_c</t>
  </si>
  <si>
    <t>q29_1_it03_d</t>
  </si>
  <si>
    <t>Q29_1_iter03_d. Agree or Disagree - An Ombudsman - The process was affordable</t>
  </si>
  <si>
    <t>AJR_drm_3_d</t>
  </si>
  <si>
    <t>q29_1_it03_e</t>
  </si>
  <si>
    <t>Q29_1_iter03_e. Agree or Disagree - An Ombudsman - The duration/length of the process was reasonable</t>
  </si>
  <si>
    <t>AJR_drm_3_e</t>
  </si>
  <si>
    <t>q29_1_it03_f</t>
  </si>
  <si>
    <t>Q29_1_iter03_f. Agree or Disagree - An Ombudsman - The process was fair</t>
  </si>
  <si>
    <t>AJR_drm_3_f</t>
  </si>
  <si>
    <t>q29_1_it03_g</t>
  </si>
  <si>
    <t>Q29_1_iter03_g. Agree or Disagree - An Ombudsman - The outcome was fair</t>
  </si>
  <si>
    <t>AJR_drm_3_g</t>
  </si>
  <si>
    <t>q29_1_it03_h</t>
  </si>
  <si>
    <t>Q29_1_iter03_h. Agree or Disagree - An Ombudsman - &lt;&gt; was helpful</t>
  </si>
  <si>
    <t>AJR_drm_3_h</t>
  </si>
  <si>
    <t>q29_1_it03_i</t>
  </si>
  <si>
    <t>Q29_1_iter03_i. Agree or Disagree - An Ombudsman - &lt;&gt; took my concerns and experiences seriously</t>
  </si>
  <si>
    <t>AJR_drm_3_i</t>
  </si>
  <si>
    <t>q29_1_it04_a</t>
  </si>
  <si>
    <t>Q29_1_iter04_a. Agree or Disagree - The Gardai/police - Both parties had the same opportunity to explain their position</t>
  </si>
  <si>
    <t>AJR_drm_4_a</t>
  </si>
  <si>
    <t>q29_1_it04_b</t>
  </si>
  <si>
    <t>Q29_1_iter04_b. Agree or Disagree - The Gardai/police - The justification for the decision/outcome was clearly explained to me</t>
  </si>
  <si>
    <t>AJR_drm_4_b</t>
  </si>
  <si>
    <t>q29_1_it04_c</t>
  </si>
  <si>
    <t>Q29_1_iter04_c. Agree or Disagree - The Gardai/police - The process was efficient</t>
  </si>
  <si>
    <t>AJR_drm_4_c</t>
  </si>
  <si>
    <t>q29_1_it04_d</t>
  </si>
  <si>
    <t>Q29_1_iter04_d. Agree or Disagree - The Gardai/police - The process was affordable</t>
  </si>
  <si>
    <t>AJR_drm_4_d</t>
  </si>
  <si>
    <t>q29_1_it04_e</t>
  </si>
  <si>
    <t>Q29_1_iter04_e. Agree or Disagree - The Gardai/police - The duration/length of the process was reasonable</t>
  </si>
  <si>
    <t>AJR_drm_4_e</t>
  </si>
  <si>
    <t>q29_1_it04_f</t>
  </si>
  <si>
    <t>Q29_1_iter04_f. Agree or Disagree - The Gardai/police - The process was fair</t>
  </si>
  <si>
    <t>AJR_drm_4_f</t>
  </si>
  <si>
    <t>q29_1_it04_g</t>
  </si>
  <si>
    <t>Q29_1_iter04_g. Agree or Disagree - The Gardai/police - The outcome was fair</t>
  </si>
  <si>
    <t>AJR_drm_4_g</t>
  </si>
  <si>
    <t>q29_1_it04_h</t>
  </si>
  <si>
    <t>Q29_1_iter04_h. Agree or Disagree - The Gardai/police - &lt;&gt; was helpful</t>
  </si>
  <si>
    <t>AJR_drm_4_h</t>
  </si>
  <si>
    <t>q29_1_it04_i</t>
  </si>
  <si>
    <t>Q29_1_iter04_i. Agree or Disagree - The Gardai/police - &lt;&gt; took my concerns and experiences seriously</t>
  </si>
  <si>
    <t>AJR_drm_4_i</t>
  </si>
  <si>
    <t>q29_1_it05_a</t>
  </si>
  <si>
    <t>Q29_1_iter05_a. Agree or Disagree - A formal mediation service - Both parties had the same opportunity to explain their position</t>
  </si>
  <si>
    <t>AJR_drm_5_a</t>
  </si>
  <si>
    <t>q29_1_it05_b</t>
  </si>
  <si>
    <t>Q29_1_iter05_b. Agree or Disagree - A formal mediation service - The justification for the decision/outcome was clearly explained to me</t>
  </si>
  <si>
    <t>AJR_drm_5_b</t>
  </si>
  <si>
    <t>q29_1_it05_c</t>
  </si>
  <si>
    <t>Q29_1_iter05_c. Agree or Disagree - A formal mediation service - The process was efficient</t>
  </si>
  <si>
    <t>AJR_drm_5_c</t>
  </si>
  <si>
    <t>q29_1_it05_d</t>
  </si>
  <si>
    <t>Q29_1_iter05_d. Agree or Disagree - A formal mediation service - The process was affordable</t>
  </si>
  <si>
    <t>AJR_drm_5_d</t>
  </si>
  <si>
    <t>q29_1_it05_e</t>
  </si>
  <si>
    <t>Q29_1_iter05_e. Agree or Disagree - A formal mediation service - The duration/length of the process was reasonable</t>
  </si>
  <si>
    <t>AJR_drm_5_e</t>
  </si>
  <si>
    <t>q29_1_it05_f</t>
  </si>
  <si>
    <t>Q29_1_iter05_f. Agree or Disagree - A formal mediation service - The process was fair</t>
  </si>
  <si>
    <t>AJR_drm_5_f</t>
  </si>
  <si>
    <t>q29_1_it05_g</t>
  </si>
  <si>
    <t>Q29_1_iter05_g. Agree or Disagree - A formal mediation service - The outcome was fair</t>
  </si>
  <si>
    <t>AJR_drm_5_g</t>
  </si>
  <si>
    <t>q29_1_it05_h</t>
  </si>
  <si>
    <t>Q29_1_iter05_h. Agree or Disagree - A formal mediation service - &lt;&gt; was helpful</t>
  </si>
  <si>
    <t>AJR_drm_5_h</t>
  </si>
  <si>
    <t>q29_1_it05_i</t>
  </si>
  <si>
    <t>Q29_1_iter05_i. Agree or Disagree - A formal mediation service - &lt;&gt; took my concerns and experiences seriously</t>
  </si>
  <si>
    <t>AJR_drm_5_i</t>
  </si>
  <si>
    <t>q29_1_it06_a</t>
  </si>
  <si>
    <t>Q29_1_iter06_a. Agree or Disagree - A lawyer / lawyer's office - Both parties had the same opportunity to explain their position</t>
  </si>
  <si>
    <t>AJR_drm_6_a</t>
  </si>
  <si>
    <t>q29_1_it06_b</t>
  </si>
  <si>
    <t>Q29_1_iter06_b. Agree or Disagree - A lawyer / lawyer's office - The justification for the decision/outcome was clearly explained to me</t>
  </si>
  <si>
    <t>AJR_drm_6_b</t>
  </si>
  <si>
    <t>q29_1_it06_c</t>
  </si>
  <si>
    <t>Q29_1_iter06_c. Agree or Disagree - A lawyer / lawyer's office - The process was efficient</t>
  </si>
  <si>
    <t>AJR_drm_6_c</t>
  </si>
  <si>
    <t>q29_1_it06_d</t>
  </si>
  <si>
    <t>Q29_1_iter06_d. Agree or Disagree - A lawyer / lawyer's office - The process was affordable</t>
  </si>
  <si>
    <t>AJR_drm_6_d</t>
  </si>
  <si>
    <t>q29_1_it06_e</t>
  </si>
  <si>
    <t>Q29_1_iter06_e. Agree or Disagree - A lawyer / lawyer's office - The duration/length of the process was reasonable</t>
  </si>
  <si>
    <t>AJR_drm_6_e</t>
  </si>
  <si>
    <t>q29_1_it06_f</t>
  </si>
  <si>
    <t>Q29_1_iter06_f. Agree or Disagree - A lawyer / lawyer's office - The process was fair</t>
  </si>
  <si>
    <t>AJR_drm_6_f</t>
  </si>
  <si>
    <t>q29_1_it06_g</t>
  </si>
  <si>
    <t>Q29_1_iter06_g. Agree or Disagree - A lawyer / lawyer's office - The outcome was fair</t>
  </si>
  <si>
    <t>AJR_drm_6_g</t>
  </si>
  <si>
    <t>q29_1_it06_h</t>
  </si>
  <si>
    <t>Q29_1_iter06_h. Agree or Disagree - A lawyer / lawyer's office - &lt;&gt; was helpful</t>
  </si>
  <si>
    <t>AJR_drm_6_h</t>
  </si>
  <si>
    <t>q29_1_it06_i</t>
  </si>
  <si>
    <t>Q29_1_iter06_i. Agree or Disagree - A lawyer / lawyer's office - &lt;&gt; took my concerns and experiences seriously</t>
  </si>
  <si>
    <t>AJR_drm_6_i</t>
  </si>
  <si>
    <t>q29_1_it07_a</t>
  </si>
  <si>
    <t>Q29_1_iter07_a. Agree or Disagree - A government department, local council or government agency - Both parties had the same opportunity to explain their position</t>
  </si>
  <si>
    <t>AJR_drm_7_a</t>
  </si>
  <si>
    <t>q29_1_it07_b</t>
  </si>
  <si>
    <t>Q29_1_iter07_b. Agree or Disagree - A government department, local council or government agency - The justification for the decision/outcome was clearly explained to me</t>
  </si>
  <si>
    <t>AJR_drm_7_b</t>
  </si>
  <si>
    <t>q29_1_it07_c</t>
  </si>
  <si>
    <t>Q29_1_iter07_c. Agree or Disagree - A government department, local council or government agency - The process was efficient</t>
  </si>
  <si>
    <t>AJR_drm_7_c</t>
  </si>
  <si>
    <t>q29_1_it07_d</t>
  </si>
  <si>
    <t>Q29_1_iter07_d. Agree or Disagree - A government department, local council or government agency - The process was affordable</t>
  </si>
  <si>
    <t>AJR_drm_7_d</t>
  </si>
  <si>
    <t>q29_1_it07_e</t>
  </si>
  <si>
    <t>Q29_1_iter07_e. Agree or Disagree - A government department, local council or government agency - The duration/length of the process was reasonable</t>
  </si>
  <si>
    <t>AJR_drm_7_e</t>
  </si>
  <si>
    <t>q29_1_it07_f</t>
  </si>
  <si>
    <t>Q29_1_iter07_f. Agree or Disagree - A government department, local council or government agency - The process was fair</t>
  </si>
  <si>
    <t>AJR_drm_7_f</t>
  </si>
  <si>
    <t>q29_1_it07_g</t>
  </si>
  <si>
    <t>Q29_1_iter07_g. Agree or Disagree - A government department, local council or government agency - The outcome was fair</t>
  </si>
  <si>
    <t>AJR_drm_7_g</t>
  </si>
  <si>
    <t>q29_1_it07_h</t>
  </si>
  <si>
    <t>Q29_1_iter07_h. Agree or Disagree - A government department, local council or government agency - &lt;&gt; was helpful</t>
  </si>
  <si>
    <t>AJR_drm_7_h</t>
  </si>
  <si>
    <t>q29_1_it07_i</t>
  </si>
  <si>
    <t>Q29_1_iter07_i. Agree or Disagree - A government department, local council or government agency - &lt;&gt; took my concerns and experiences seriously</t>
  </si>
  <si>
    <t>AJR_drm_7_i</t>
  </si>
  <si>
    <t>q29_1_it08_a</t>
  </si>
  <si>
    <t>Q29_1_iter08_a. Agree or Disagree - A community leader, or other person of standing - Both parties had the same opportunity to explain their position</t>
  </si>
  <si>
    <t>AJR_drm_8_a</t>
  </si>
  <si>
    <t>q29_1_it08_b</t>
  </si>
  <si>
    <t>Q29_1_iter08_b. Agree or Disagree - A community leader, or other person of standing - The justification for the decision/outcome was clearly explained to me</t>
  </si>
  <si>
    <t>AJR_drm_8_b</t>
  </si>
  <si>
    <t>q29_1_it08_c</t>
  </si>
  <si>
    <t>Q29_1_iter08_c. Agree or Disagree - A community leader, or other person of standing - The process was efficient</t>
  </si>
  <si>
    <t>AJR_drm_8_c</t>
  </si>
  <si>
    <t>q29_1_it08_d</t>
  </si>
  <si>
    <t>Q29_1_iter08_d. Agree or Disagree - A community leader, or other person of standing - The process was affordable</t>
  </si>
  <si>
    <t>AJR_drm_8_d</t>
  </si>
  <si>
    <t>q29_1_it08_e</t>
  </si>
  <si>
    <t>Q29_1_iter08_e. Agree or Disagree - A community leader, or other person of standing - The duration/length of the process was reasonable</t>
  </si>
  <si>
    <t>AJR_drm_8_e</t>
  </si>
  <si>
    <t>q29_1_it08_f</t>
  </si>
  <si>
    <t>Q29_1_iter08_f. Agree or Disagree - A community leader, or other person of standing - The process was fair</t>
  </si>
  <si>
    <t>AJR_drm_8_f</t>
  </si>
  <si>
    <t>q29_1_it08_g</t>
  </si>
  <si>
    <t>Q29_1_iter08_g. Agree or Disagree - A community leader, or other person of standing - The outcome was fair</t>
  </si>
  <si>
    <t>AJR_drm_8_g</t>
  </si>
  <si>
    <t>q29_1_it08_h</t>
  </si>
  <si>
    <t>Q29_1_iter08_h. Agree or Disagree - A community leader, or other person of standing - &lt;&gt; was helpful</t>
  </si>
  <si>
    <t>AJR_drm_8_h</t>
  </si>
  <si>
    <t>q29_1_it08_i</t>
  </si>
  <si>
    <t>Q29_1_iter08_i. Agree or Disagree - A community leader, or other person of standing - &lt;&gt; took my concerns and experiences seriously</t>
  </si>
  <si>
    <t>AJR_drm_8_i</t>
  </si>
  <si>
    <t>q29_1_it09_a</t>
  </si>
  <si>
    <t>Q29_1_iter09_a. Agree or Disagree - Other dispute resolution service - Both parties had the same opportunity to explain their position</t>
  </si>
  <si>
    <t>AJR_drm_9_a</t>
  </si>
  <si>
    <t>q29_1_it09_b</t>
  </si>
  <si>
    <t>Q29_1_iter09_b. Agree or Disagree - Other dispute resolution service - The justification for the decision/outcome was clearly explained to me</t>
  </si>
  <si>
    <t>AJR_drm_9_b</t>
  </si>
  <si>
    <t>q29_1_it09_c</t>
  </si>
  <si>
    <t>Q29_1_iter09_c. Agree or Disagree - Other dispute resolution service - The process was efficient</t>
  </si>
  <si>
    <t>AJR_drm_9_c</t>
  </si>
  <si>
    <t>q29_1_it09_d</t>
  </si>
  <si>
    <t>Q29_1_iter09_d. Agree or Disagree - Other dispute resolution service - The process was affordable</t>
  </si>
  <si>
    <t>AJR_drm_9_d</t>
  </si>
  <si>
    <t>q29_1_it09_e</t>
  </si>
  <si>
    <t>Q29_1_iter09_e. Agree or Disagree - Other dispute resolution service - The duration/length of the process was reasonable</t>
  </si>
  <si>
    <t>AJR_drm_9_e</t>
  </si>
  <si>
    <t>q29_1_it09_f</t>
  </si>
  <si>
    <t>Q29_1_iter09_f. Agree or Disagree - Other dispute resolution service - The process was fair</t>
  </si>
  <si>
    <t>AJR_drm_9_f</t>
  </si>
  <si>
    <t>q29_1_it09_g</t>
  </si>
  <si>
    <t>Q29_1_iter09_g. Agree or Disagree - Other dispute resolution service - The outcome was fair</t>
  </si>
  <si>
    <t>AJR_drm_9_g</t>
  </si>
  <si>
    <t>q29_1_it09_h</t>
  </si>
  <si>
    <t>Q29_1_iter09_h. Agree or Disagree - Other dispute resolution service - &lt;&gt; was helpful</t>
  </si>
  <si>
    <t>AJR_drm_9_h</t>
  </si>
  <si>
    <t>q29_1_it09_i</t>
  </si>
  <si>
    <t>Q29_1_iter09_i. Agree or Disagree - Other dispute resolution service - &lt;&gt; took my concerns and experiences seriously</t>
  </si>
  <si>
    <t>AJR_drm_9_i</t>
  </si>
  <si>
    <t>q29_1_it11_a</t>
  </si>
  <si>
    <t>Q29_1_iter11_a. Agree or Disagree - Other professional or organisation - Both parties had the same opportunity to explain their position</t>
  </si>
  <si>
    <t>AJR_drm_11_a</t>
  </si>
  <si>
    <t>q29_1_it11_b</t>
  </si>
  <si>
    <t>Q29_1_iter11_b. Agree or Disagree - Other professional or organisation - The justification for the decision/outcome was clearly explained to me</t>
  </si>
  <si>
    <t>AJR_drm_11_b</t>
  </si>
  <si>
    <t>q29_1_it11_c</t>
  </si>
  <si>
    <t>Q29_1_iter11_c. Agree or Disagree - Other professional or organisation - The process was efficient</t>
  </si>
  <si>
    <t>AJR_drm_11_c</t>
  </si>
  <si>
    <t>q29_1_it11_d</t>
  </si>
  <si>
    <t>Q29_1_iter11_d. Agree or Disagree - Other professional or organisation - The process was affordable</t>
  </si>
  <si>
    <t>AJR_drm_11_d</t>
  </si>
  <si>
    <t>q29_1_it11_e</t>
  </si>
  <si>
    <t>Q29_1_iter11_e. Agree or Disagree - Other professional or organisation - The duration/length of the process was reasonable</t>
  </si>
  <si>
    <t>AJR_drm_11_e</t>
  </si>
  <si>
    <t>q29_1_it11_f</t>
  </si>
  <si>
    <t>Q29_1_iter11_f. Agree or Disagree - Other professional or organisation - The process was fair</t>
  </si>
  <si>
    <t>AJR_drm_11_f</t>
  </si>
  <si>
    <t>q29_1_it11_g</t>
  </si>
  <si>
    <t>Q29_1_iter11_g. Agree or Disagree - Other professional or organisation - The outcome was fair</t>
  </si>
  <si>
    <t>AJR_drm_11_g</t>
  </si>
  <si>
    <t>q29_1_it11_h</t>
  </si>
  <si>
    <t>Q29_1_iter11_h. Agree or Disagree - Other professional or organisation - &lt;&gt; was helpful</t>
  </si>
  <si>
    <t>AJR_drm_11_h</t>
  </si>
  <si>
    <t>q29_1_it11_i</t>
  </si>
  <si>
    <t>Q29_1_iter11_i. Agree or Disagree - Other professional or organisation - &lt;&gt; took my concerns and experiences seriously</t>
  </si>
  <si>
    <t>AJR_drm_11_i</t>
  </si>
  <si>
    <t>q29_2_it01_a</t>
  </si>
  <si>
    <t>Q29_2_iter01_a. Agree / disagree - I received the decision/outcome of the process in writing</t>
  </si>
  <si>
    <t>AJR_drm_res_1_a</t>
  </si>
  <si>
    <t>q29_2_it01_b</t>
  </si>
  <si>
    <t>Q29_2_iter01_b. Agree / disagree - I could have appealed the decision/outcome</t>
  </si>
  <si>
    <t>AJR_drm_res_1_b</t>
  </si>
  <si>
    <t>q29_2_it01_c</t>
  </si>
  <si>
    <t>Q29_2_iter01_c. Agree / disagree - I was represented by a lawyer</t>
  </si>
  <si>
    <t>AJR_drm_res_1_c</t>
  </si>
  <si>
    <t>q29_2_it01_d</t>
  </si>
  <si>
    <t>Q29_2_iter01_d. Agree / disagree - I was represented by another advisor, person or organisation</t>
  </si>
  <si>
    <t>AJR_drm_res_1_d</t>
  </si>
  <si>
    <t>q29_2_it02_a</t>
  </si>
  <si>
    <t>Q29_2_iter02_a. Agree / disagree - I received the decision/outcome of the process in writing</t>
  </si>
  <si>
    <t>AJR_drm_res_2_a</t>
  </si>
  <si>
    <t>q29_2_it02_b</t>
  </si>
  <si>
    <t>Q29_2_iter02_b. Agree / disagree - I could have appealed the decision/outcome</t>
  </si>
  <si>
    <t>AJR_drm_res_2_b</t>
  </si>
  <si>
    <t>q29_2_it02_c</t>
  </si>
  <si>
    <t>Q29_2_iter02_c. Agree / disagree - I was represented by a lawyer</t>
  </si>
  <si>
    <t>AJR_drm_res_2_c</t>
  </si>
  <si>
    <t>q29_2_it02_d</t>
  </si>
  <si>
    <t>Q29_2_iter02_d. Agree / disagree - I was represented by another advisor, person or organisation</t>
  </si>
  <si>
    <t>AJR_drm_res_2_d</t>
  </si>
  <si>
    <t>q29_2_it03_a</t>
  </si>
  <si>
    <t>Q29_2_iter03_a. Agree / disagree - I received the decision/outcome of the process in writing</t>
  </si>
  <si>
    <t>AJR_drm_res_3_a</t>
  </si>
  <si>
    <t>q29_2_it03_b</t>
  </si>
  <si>
    <t>Q29_2_iter03_b. Agree / disagree - I could have appealed the decision/outcome</t>
  </si>
  <si>
    <t>AJR_drm_res_3_b</t>
  </si>
  <si>
    <t>q29_2_it03_c</t>
  </si>
  <si>
    <t>Q29_2_iter03_c. Agree / disagree - I was represented by a lawyer</t>
  </si>
  <si>
    <t>AJR_drm_res_3_c</t>
  </si>
  <si>
    <t>q29_2_it03_d</t>
  </si>
  <si>
    <t>Q29_2_iter03_d. Agree / disagree - I was represented by another advisor, person or organisation</t>
  </si>
  <si>
    <t>AJR_drm_res_3_d</t>
  </si>
  <si>
    <t>q29_2_it04_a</t>
  </si>
  <si>
    <t>Q29_2_iter04_a. Agree / disagree - I received the decision/outcome of the process in writing</t>
  </si>
  <si>
    <t>AJR_drm_res_4_a</t>
  </si>
  <si>
    <t>q29_2_it04_b</t>
  </si>
  <si>
    <t>Q29_2_iter04_b. Agree / disagree - I could have appealed the decision/outcome</t>
  </si>
  <si>
    <t>AJR_drm_res_4_b</t>
  </si>
  <si>
    <t>q29_2_it04_c</t>
  </si>
  <si>
    <t>Q29_2_iter04_c. Agree / disagree - I was represented by a lawyer</t>
  </si>
  <si>
    <t>AJR_drm_res_4_c</t>
  </si>
  <si>
    <t>q29_2_it04_d</t>
  </si>
  <si>
    <t>Q29_2_iter04_d. Agree / disagree - I was represented by another advisor, person or organisation</t>
  </si>
  <si>
    <t>AJR_drm_res_4_d</t>
  </si>
  <si>
    <t>q29_2_it05_a</t>
  </si>
  <si>
    <t>Q29_2_iter05_a. Agree / disagree - I received the decision/outcome of the process in writing</t>
  </si>
  <si>
    <t>AJR_drm_res_5_a</t>
  </si>
  <si>
    <t>q29_2_it05_b</t>
  </si>
  <si>
    <t>Q29_2_iter05_b. Agree / disagree - I could have appealed the decision/outcome</t>
  </si>
  <si>
    <t>AJR_drm_res_5_b</t>
  </si>
  <si>
    <t>q29_2_it05_c</t>
  </si>
  <si>
    <t>Q29_2_iter05_c. Agree / disagree - I was represented by a lawyer</t>
  </si>
  <si>
    <t>AJR_drm_res_5_c</t>
  </si>
  <si>
    <t>q29_2_it05_d</t>
  </si>
  <si>
    <t>Q29_2_iter05_d. Agree / disagree - I was represented by another advisor, person or organisation</t>
  </si>
  <si>
    <t>AJR_drm_res_5_d</t>
  </si>
  <si>
    <t>q29_2_it06_a</t>
  </si>
  <si>
    <t>Q29_2_iter06_a. Agree / disagree - I received the decision/outcome of the process in writing</t>
  </si>
  <si>
    <t>AJR_drm_res_6_a</t>
  </si>
  <si>
    <t>q29_2_it06_b</t>
  </si>
  <si>
    <t>Q29_2_iter06_b. Agree / disagree - I could have appealed the decision/outcome</t>
  </si>
  <si>
    <t>AJR_drm_res_6_b</t>
  </si>
  <si>
    <t>q29_2_it06_c</t>
  </si>
  <si>
    <t>Q29_2_iter06_c. Agree / disagree - I was represented by a lawyer</t>
  </si>
  <si>
    <t>AJR_drm_res_6_c</t>
  </si>
  <si>
    <t>q29_2_it06_d</t>
  </si>
  <si>
    <t>Q29_2_iter06_d. Agree / disagree - I was represented by another advisor, person or organisation</t>
  </si>
  <si>
    <t>AJR_drm_res_6_d</t>
  </si>
  <si>
    <t>q29_2_it07_a</t>
  </si>
  <si>
    <t>Q29_2_iter07_a. Agree / disagree - I received the decision/outcome of the process in writing</t>
  </si>
  <si>
    <t>AJR_drm_res_7_a</t>
  </si>
  <si>
    <t>q29_2_it07_b</t>
  </si>
  <si>
    <t>Q29_2_iter07_b. Agree / disagree - I could have appealed the decision/outcome</t>
  </si>
  <si>
    <t>AJR_drm_res_7_b</t>
  </si>
  <si>
    <t>q29_2_it07_c</t>
  </si>
  <si>
    <t>Q29_2_iter07_c. Agree / disagree - I was represented by a lawyer</t>
  </si>
  <si>
    <t>AJR_drm_res_7_c</t>
  </si>
  <si>
    <t>q29_2_it07_d</t>
  </si>
  <si>
    <t>Q29_2_iter07_d. Agree / disagree - I was represented by another advisor, person or organisation</t>
  </si>
  <si>
    <t>AJR_drm_res_7_d</t>
  </si>
  <si>
    <t>q29_2_it08_a</t>
  </si>
  <si>
    <t>Q29_2_iter08_a. Agree / disagree - I received the decision/outcome of the process in writing</t>
  </si>
  <si>
    <t>AJR_drm_res_8_a</t>
  </si>
  <si>
    <t>q29_2_it08_b</t>
  </si>
  <si>
    <t>Q29_2_iter08_b. Agree / disagree - I could have appealed the decision/outcome</t>
  </si>
  <si>
    <t>AJR_drm_res_8_b</t>
  </si>
  <si>
    <t>q29_2_it08_c</t>
  </si>
  <si>
    <t>Q29_2_iter08_c. Agree / disagree - I was represented by a lawyer</t>
  </si>
  <si>
    <t>AJR_drm_res_8_c</t>
  </si>
  <si>
    <t>q29_2_it08_d</t>
  </si>
  <si>
    <t>Q29_2_iter08_d. Agree / disagree - I was represented by another advisor, person or organisation</t>
  </si>
  <si>
    <t>AJR_drm_res_8_d</t>
  </si>
  <si>
    <t>q29_2_it09_a</t>
  </si>
  <si>
    <t>Q29_2_iter09_a. Agree / disagree - I received the decision/outcome of the process in writing</t>
  </si>
  <si>
    <t>AJR_drm_res_9_a</t>
  </si>
  <si>
    <t>q29_2_it09_b</t>
  </si>
  <si>
    <t>Q29_2_iter09_b. Agree / disagree - I could have appealed the decision/outcome</t>
  </si>
  <si>
    <t>AJR_drm_res_9_b</t>
  </si>
  <si>
    <t>q29_2_it09_c</t>
  </si>
  <si>
    <t>Q29_2_iter09_c. Agree / disagree - I was represented by a lawyer</t>
  </si>
  <si>
    <t>AJR_drm_res_9_c</t>
  </si>
  <si>
    <t>q29_2_it09_d</t>
  </si>
  <si>
    <t>Q29_2_iter09_d. Agree / disagree - I was represented by another advisor, person or organisation</t>
  </si>
  <si>
    <t>AJR_drm_res_9_d</t>
  </si>
  <si>
    <t>q29_2_it11_a</t>
  </si>
  <si>
    <t>Q29_2_iter11_a. Agree / disagree - I received the decision/outcome of the process in writing</t>
  </si>
  <si>
    <t>AJR_drm_res_11_a</t>
  </si>
  <si>
    <t>q29_2_it11_b</t>
  </si>
  <si>
    <t>Q29_2_iter11_b. Agree / disagree - I could have appealed the decision/outcome</t>
  </si>
  <si>
    <t>AJR_drm_res_11_b</t>
  </si>
  <si>
    <t>q29_2_it11_c</t>
  </si>
  <si>
    <t>Q29_2_iter11_c. Agree / disagree - I was represented by a lawyer</t>
  </si>
  <si>
    <t>AJR_drm_res_11_c</t>
  </si>
  <si>
    <t>q29_2_it11_d</t>
  </si>
  <si>
    <t>Q29_2_iter11_d. Agree / disagree - I was represented by another advisor, person or organisation</t>
  </si>
  <si>
    <t>AJR_drm_res_11_d</t>
  </si>
  <si>
    <t>q28</t>
  </si>
  <si>
    <t>Q28. Which of the following best reflects how the issue resolution was brought about? Select the first that applies.</t>
  </si>
  <si>
    <t>AJR_settle_resol</t>
  </si>
  <si>
    <t>What is 11?</t>
  </si>
  <si>
    <t>q30</t>
  </si>
  <si>
    <t>Q30. Regardless of the outcome of this issue, do you feel the process through which the outcome was reached was overall fair or unfair to everybody concerned?</t>
  </si>
  <si>
    <t>q31_1</t>
  </si>
  <si>
    <t>Q31. To what extent do you agree or disagree with the following statements about experiencing the issue? - I understood or came / have come to understand my rights and responsibilities</t>
  </si>
  <si>
    <t>AJE_legalrights</t>
  </si>
  <si>
    <t>q31_2</t>
  </si>
  <si>
    <t>Q31. To what extent do you agree or disagree with the following statements about experiencing the issue? - I knew / know where to get good information and advice about resolving issues</t>
  </si>
  <si>
    <t>AJE_infosource</t>
  </si>
  <si>
    <t>q31_3</t>
  </si>
  <si>
    <t>Q31. To what extent do you agree or disagree with the following statements about experiencing the issue? - I was able / have been able to get all the expert help that I needed</t>
  </si>
  <si>
    <t>AJE_advice</t>
  </si>
  <si>
    <t>q31_4</t>
  </si>
  <si>
    <t>Q31. To what extent do you agree or disagree with the following statements about experiencing the issue? - I was / am confident I could achieve a fair outcome</t>
  </si>
  <si>
    <t>AJE_fairoutcome</t>
  </si>
  <si>
    <t>q32_1</t>
  </si>
  <si>
    <t>Q32_1. Overall, how much impact has experiencing this issue, or trying to deal with this issue, had on you?</t>
  </si>
  <si>
    <t>AJE_impact</t>
  </si>
  <si>
    <t>q32_01</t>
  </si>
  <si>
    <t>Q32. Did you experience any of the following because of, or from trying to deal with, this issue? - Health difficulties or injury</t>
  </si>
  <si>
    <t>AJE_health</t>
  </si>
  <si>
    <t>AJE_hardship_1</t>
  </si>
  <si>
    <t>q32_02</t>
  </si>
  <si>
    <t>Q32. Did you experience any of the following because of, or from trying to deal with, this issue? - Stress or emotional strain</t>
  </si>
  <si>
    <t>AJE_hardship_2</t>
  </si>
  <si>
    <t>q32_03</t>
  </si>
  <si>
    <t>Q32. Did you experience any of the following because of, or from trying to deal with, this issue? - Damage to personal or family relationships</t>
  </si>
  <si>
    <t>AJE_emotional</t>
  </si>
  <si>
    <t>AJE_hardship_3</t>
  </si>
  <si>
    <t>q32_04</t>
  </si>
  <si>
    <t>Q32. Did you experience any of the following because of, or from trying to deal with, this issue? - Being threatened or feeling unsafe</t>
  </si>
  <si>
    <t>AJE_hardship_4</t>
  </si>
  <si>
    <t>q32_05</t>
  </si>
  <si>
    <t>Q32. Did you experience any of the following because of, or from trying to deal with, this issue? - Damage to property</t>
  </si>
  <si>
    <t>AJE_hardship_5</t>
  </si>
  <si>
    <t>q32_06</t>
  </si>
  <si>
    <t>Q32. Did you experience any of the following because of, or from trying to deal with, this issue? - Changes to your housing situation</t>
  </si>
  <si>
    <t>AJE_hardship_6</t>
  </si>
  <si>
    <t>q32_07</t>
  </si>
  <si>
    <t>Q32. Did you experience any of the following because of, or from trying to deal with, this issue? - Loss of employment</t>
  </si>
  <si>
    <t>AJE_income</t>
  </si>
  <si>
    <t>AJE_hardship_7</t>
  </si>
  <si>
    <t>q32_08</t>
  </si>
  <si>
    <t>Q32. Did you experience any of the following because of, or from trying to deal with, this issue? - Loss of money</t>
  </si>
  <si>
    <t>AJE_hardship_8</t>
  </si>
  <si>
    <t>q32_09</t>
  </si>
  <si>
    <t>Q32. Did you experience any of the following because of, or from trying to deal with, this issue? - Loss of confidence or fear</t>
  </si>
  <si>
    <t>AJE_hardship_9</t>
  </si>
  <si>
    <t>q32_10</t>
  </si>
  <si>
    <t>Q32. Did you experience any of the following because of, or from trying to deal with, this issue? - Deterioration in mental health (e.g. anxiety, depression)</t>
  </si>
  <si>
    <t>AJE_hardship_10</t>
  </si>
  <si>
    <t>q32_11</t>
  </si>
  <si>
    <t>Q32. Did you experience any of the following because of, or from trying to deal with, this issue? - Feeling isolated or loss of support networks</t>
  </si>
  <si>
    <t>AJE_hardship_11</t>
  </si>
  <si>
    <t>q32_12</t>
  </si>
  <si>
    <t>Q32. Did you experience any of the following because of, or from trying to deal with, this issue? - Use of addictive substances (e.g. alcohol or drugs)</t>
  </si>
  <si>
    <t>AJE_drugs</t>
  </si>
  <si>
    <t>AJE_hardship_12</t>
  </si>
  <si>
    <t>q32_13</t>
  </si>
  <si>
    <t>Q32. Did you experience any of the following because of, or from trying to deal with, this issue? - Delay or disruption to education or training</t>
  </si>
  <si>
    <t>AJE_hardship_13</t>
  </si>
  <si>
    <t>q32_14</t>
  </si>
  <si>
    <t>Q32. Did you experience any of the following because of, or from trying to deal with, this issue? - Delay or disruption in accessing public services (e.g. healthcare, social services)</t>
  </si>
  <si>
    <t>AJE_hardship_14</t>
  </si>
  <si>
    <t>q32_15</t>
  </si>
  <si>
    <t>Q32. Did you experience any of the following because of, or from trying to deal with, this issue? - Finding everyday activities more difficult</t>
  </si>
  <si>
    <t>AJE_hardship_15</t>
  </si>
  <si>
    <t>q32_16</t>
  </si>
  <si>
    <t>Q32. Did you experience any of the following because of, or from trying to deal with, this issue? - Feeling less trust in public institutions (e.g. justice system, police, government)</t>
  </si>
  <si>
    <t>AJE_hardship_16</t>
  </si>
  <si>
    <t>q15</t>
  </si>
  <si>
    <t>Q15. Do you have any long-term health conditions that limit your ability to carry out everyday activities?</t>
  </si>
  <si>
    <t>disability</t>
  </si>
  <si>
    <t>q14</t>
  </si>
  <si>
    <t>Q14. What is your ethnic group/background?</t>
  </si>
  <si>
    <t>ethni</t>
  </si>
  <si>
    <t>q06</t>
  </si>
  <si>
    <t>Q6. Are you an Irish citizen?</t>
  </si>
  <si>
    <t>nation</t>
  </si>
  <si>
    <t>q10</t>
  </si>
  <si>
    <t>Q10. Other than holidays or short visits abroad, since which year have you been living in the Republic of Ireland continuously?</t>
  </si>
  <si>
    <t>years_ireland</t>
  </si>
  <si>
    <t>q05</t>
  </si>
  <si>
    <t>Q5. Which of the following best describes your current status?</t>
  </si>
  <si>
    <t>marital</t>
  </si>
  <si>
    <t>q19_1</t>
  </si>
  <si>
    <t>Q19_1. How many adults aged 18 or over (including yourself) live in your household?</t>
  </si>
  <si>
    <t>A1</t>
  </si>
  <si>
    <t>A1_cat</t>
  </si>
  <si>
    <t>q19_2</t>
  </si>
  <si>
    <t>Q19_2. How many children aged under 18 live in your household, at least some of the time?</t>
  </si>
  <si>
    <t>A1_children_cat</t>
  </si>
  <si>
    <t>Labels are probably wrong. It can't be that everyone in Ireland has kids</t>
  </si>
  <si>
    <t>q19_3</t>
  </si>
  <si>
    <t>Q19_3. Do any of the children that live in your household, sometimes live in another household?</t>
  </si>
  <si>
    <t>children_home</t>
  </si>
  <si>
    <t>q20</t>
  </si>
  <si>
    <t>Q20. Approximately what is the total of your household income, from all sources including benefits, before tax?</t>
  </si>
  <si>
    <t>income</t>
  </si>
  <si>
    <t>q03actual</t>
  </si>
  <si>
    <t>Q3. Actual</t>
  </si>
  <si>
    <t>q10actual</t>
  </si>
  <si>
    <t>Q10. Actual</t>
  </si>
  <si>
    <t>year_ireland</t>
  </si>
  <si>
    <t>q19_1actual</t>
  </si>
  <si>
    <t>Q19_1. Actual</t>
  </si>
  <si>
    <t>q19_2actual</t>
  </si>
  <si>
    <t>Q19_2. Actual</t>
  </si>
  <si>
    <t>A1_children</t>
  </si>
  <si>
    <t>Q17_oth</t>
  </si>
  <si>
    <t>emp_other</t>
  </si>
  <si>
    <t>Q24_1_oth</t>
  </si>
  <si>
    <t>AJR_status_cur_oth</t>
  </si>
  <si>
    <t>Q24_2_month</t>
  </si>
  <si>
    <t>AJR_month_start</t>
  </si>
  <si>
    <t>Q24_2_year</t>
  </si>
  <si>
    <t>AJR_year_start</t>
  </si>
  <si>
    <t>Q24_2_DKNA</t>
  </si>
  <si>
    <t>Q24_3_month</t>
  </si>
  <si>
    <t>AJR_month_end</t>
  </si>
  <si>
    <t>Q24_3_year</t>
  </si>
  <si>
    <t>AJR_year_end</t>
  </si>
  <si>
    <t>Q24_3_DKNA</t>
  </si>
  <si>
    <t>Q25_3_oth</t>
  </si>
  <si>
    <t>AJD_noadvice_reason_oth</t>
  </si>
  <si>
    <t>Q25_4</t>
  </si>
  <si>
    <t>Q25_4. Please specify which organisations or people helped you</t>
  </si>
  <si>
    <t>AJD_noadvice_reason_other_org</t>
  </si>
  <si>
    <t>Q25_5_3</t>
  </si>
  <si>
    <t>Q25_5_3. Have done something</t>
  </si>
  <si>
    <t>AJR_action_other</t>
  </si>
  <si>
    <t>Q25_6_oth</t>
  </si>
  <si>
    <t>AJR_noaction_oth</t>
  </si>
  <si>
    <t>Q27_oth</t>
  </si>
  <si>
    <t>AJR_noresol_reason_oth</t>
  </si>
  <si>
    <t>Q28_oth</t>
  </si>
  <si>
    <t>AJR_settle_resol_other</t>
  </si>
  <si>
    <t>Q34_1</t>
  </si>
  <si>
    <t>Q34_1. Can you name up to three organisations that you know provide free or affordable assistance for people facing issues?</t>
  </si>
  <si>
    <t>AJR_org_1</t>
  </si>
  <si>
    <t>Q34_2</t>
  </si>
  <si>
    <t>Q34_2. Can you name up to three organisations that you know provide free or affordable assistance for people facing issues?</t>
  </si>
  <si>
    <t>AJR_org_2</t>
  </si>
  <si>
    <t>Q34_3</t>
  </si>
  <si>
    <t>Q34_3. Can you name up to three organisations that you know provide free or affordable assistance for people facing issues?</t>
  </si>
  <si>
    <t>AJR_org_3</t>
  </si>
  <si>
    <t>Q34_DKNA</t>
  </si>
  <si>
    <t>Q14_4</t>
  </si>
  <si>
    <t>Q14_4. Any other White background</t>
  </si>
  <si>
    <t>ethni_white_other</t>
  </si>
  <si>
    <t>Q14_7</t>
  </si>
  <si>
    <t>Q14_7. Any other Black background</t>
  </si>
  <si>
    <t>ethni_black_other</t>
  </si>
  <si>
    <t>Q14_11</t>
  </si>
  <si>
    <t>Q14_11. Any other Asian background</t>
  </si>
  <si>
    <t>ethni_asian_other</t>
  </si>
  <si>
    <t>Q14_13</t>
  </si>
  <si>
    <t>Q14_13. Mixed group/background</t>
  </si>
  <si>
    <t>ethni_mixed_other</t>
  </si>
  <si>
    <t>Q14_14</t>
  </si>
  <si>
    <t>Q14_14. Other group/background</t>
  </si>
  <si>
    <t>ethni_other</t>
  </si>
  <si>
    <t>Question label</t>
  </si>
  <si>
    <t>Value</t>
  </si>
  <si>
    <t>1</t>
  </si>
  <si>
    <t>Male</t>
  </si>
  <si>
    <t>2</t>
  </si>
  <si>
    <t>Female</t>
  </si>
  <si>
    <t>3</t>
  </si>
  <si>
    <t>Other/Prefer not to say</t>
  </si>
  <si>
    <t>18-24</t>
  </si>
  <si>
    <t>25-34</t>
  </si>
  <si>
    <t>35-44</t>
  </si>
  <si>
    <t>4</t>
  </si>
  <si>
    <t>45-54</t>
  </si>
  <si>
    <t>5</t>
  </si>
  <si>
    <t>55-64</t>
  </si>
  <si>
    <t>6</t>
  </si>
  <si>
    <t>65-74</t>
  </si>
  <si>
    <t>7</t>
  </si>
  <si>
    <t>75+</t>
  </si>
  <si>
    <t>No formal education/training</t>
  </si>
  <si>
    <t>Primary education</t>
  </si>
  <si>
    <t>Lower secondary - Junior/Inter/Group Certificate</t>
  </si>
  <si>
    <t>Upper Secondary - Leaving Certificate</t>
  </si>
  <si>
    <t>Technical or Vocational</t>
  </si>
  <si>
    <t>Advanced Certificate/Completed Apprenticeship</t>
  </si>
  <si>
    <t>Higher Certificate</t>
  </si>
  <si>
    <t>8</t>
  </si>
  <si>
    <t>Ordinary Bachelor's degree or National Diploma</t>
  </si>
  <si>
    <t>9</t>
  </si>
  <si>
    <t>Honours Bachelor's degree/Professional Qualification or both</t>
  </si>
  <si>
    <t>10</t>
  </si>
  <si>
    <t>Postgraduate Diploma or Master's Degree</t>
  </si>
  <si>
    <t>11</t>
  </si>
  <si>
    <t>Doctorate (PhD) or higher</t>
  </si>
  <si>
    <t>Lower education</t>
  </si>
  <si>
    <t>Higher education</t>
  </si>
  <si>
    <t>Employed</t>
  </si>
  <si>
    <t>Self-employed</t>
  </si>
  <si>
    <t>Unemployed and looking for work</t>
  </si>
  <si>
    <t>Retired</t>
  </si>
  <si>
    <t>Unable to work due to long standing health problems</t>
  </si>
  <si>
    <t>Full time Student/Pupil</t>
  </si>
  <si>
    <t>Looking after home/family</t>
  </si>
  <si>
    <t>Not working and not looking for work</t>
  </si>
  <si>
    <t>Other, please specify:</t>
  </si>
  <si>
    <t>Full-time</t>
  </si>
  <si>
    <t>Others</t>
  </si>
  <si>
    <t>Higher managerial/ professional/ administrative (e.g. Established doctor, Solicitor, Board Director&lt;br/&gt;in a large organ</t>
  </si>
  <si>
    <t>Intermediate managerial/ professional/ administrative (e.g. Newly qualified (under 3 years) doctor,&lt;br/&gt;Solicitor, Board</t>
  </si>
  <si>
    <t>Supervisory or clerical/ junior managerial/ professional/ administrative (e.g. Office worker,&lt;br/&gt;Student Doctor, Forema</t>
  </si>
  <si>
    <t>Student</t>
  </si>
  <si>
    <t>Skilled manual worker (e.g. Skilled Bricklayer, Carpenter, Plumber, Painter, Bus/ Ambulance Driver,&lt;br/&gt;HGV driver, AA p</t>
  </si>
  <si>
    <t>Semi or unskilled manual worker (e.g. Manual workers, all apprentices to be skilled trades,&lt;br/&gt;Caretaker, Park keeper,</t>
  </si>
  <si>
    <t>Casual worker - not in permanent employment</t>
  </si>
  <si>
    <t>Housewife/ Homemaker</t>
  </si>
  <si>
    <t>Retired and living on state pension</t>
  </si>
  <si>
    <t>Unemployed or not working due to long-term sickness</t>
  </si>
  <si>
    <t>Full-time carer of other household member</t>
  </si>
  <si>
    <t>12</t>
  </si>
  <si>
    <t>Farmer / Agricultural worker</t>
  </si>
  <si>
    <t>A</t>
  </si>
  <si>
    <t>B</t>
  </si>
  <si>
    <t>C1</t>
  </si>
  <si>
    <t>C2</t>
  </si>
  <si>
    <t>D</t>
  </si>
  <si>
    <t>E</t>
  </si>
  <si>
    <t>F</t>
  </si>
  <si>
    <t>Carlow</t>
  </si>
  <si>
    <t>Cavan</t>
  </si>
  <si>
    <t>Clare</t>
  </si>
  <si>
    <t>Cork</t>
  </si>
  <si>
    <t>Donegal</t>
  </si>
  <si>
    <t>Dublin</t>
  </si>
  <si>
    <t>Galway</t>
  </si>
  <si>
    <t>Kerry</t>
  </si>
  <si>
    <t>Kildare</t>
  </si>
  <si>
    <t>Kilkenny</t>
  </si>
  <si>
    <t>Laois</t>
  </si>
  <si>
    <t>Leitrim</t>
  </si>
  <si>
    <t>13</t>
  </si>
  <si>
    <t>Limerick</t>
  </si>
  <si>
    <t>14</t>
  </si>
  <si>
    <t>Longford</t>
  </si>
  <si>
    <t>15</t>
  </si>
  <si>
    <t>Louth</t>
  </si>
  <si>
    <t>16</t>
  </si>
  <si>
    <t>Mayo</t>
  </si>
  <si>
    <t>17</t>
  </si>
  <si>
    <t>Meath</t>
  </si>
  <si>
    <t>18</t>
  </si>
  <si>
    <t>Monaghan</t>
  </si>
  <si>
    <t>19</t>
  </si>
  <si>
    <t>Offaly</t>
  </si>
  <si>
    <t>20</t>
  </si>
  <si>
    <t>Roscommon</t>
  </si>
  <si>
    <t>21</t>
  </si>
  <si>
    <t>Sligo</t>
  </si>
  <si>
    <t>22</t>
  </si>
  <si>
    <t>Tipperary</t>
  </si>
  <si>
    <t>23</t>
  </si>
  <si>
    <t>Waterford</t>
  </si>
  <si>
    <t>24</t>
  </si>
  <si>
    <t>Westmeath</t>
  </si>
  <si>
    <t>25</t>
  </si>
  <si>
    <t>Wexford</t>
  </si>
  <si>
    <t>26</t>
  </si>
  <si>
    <t>Wicklow</t>
  </si>
  <si>
    <t>27</t>
  </si>
  <si>
    <t>None of these</t>
  </si>
  <si>
    <t>Leinster</t>
  </si>
  <si>
    <t>Munster</t>
  </si>
  <si>
    <t>Ulster/Connacht</t>
  </si>
  <si>
    <t>Yes</t>
  </si>
  <si>
    <t>No</t>
  </si>
  <si>
    <t>Prefer not to say</t>
  </si>
  <si>
    <t>Once</t>
  </si>
  <si>
    <t>Twice</t>
  </si>
  <si>
    <t>Three times or more often</t>
  </si>
  <si>
    <t>Not sure</t>
  </si>
  <si>
    <t>Land</t>
  </si>
  <si>
    <t>Neighbours</t>
  </si>
  <si>
    <t>Housing</t>
  </si>
  <si>
    <t>Family/ relationship</t>
  </si>
  <si>
    <t>Injury</t>
  </si>
  <si>
    <t>Citizenship or migration</t>
  </si>
  <si>
    <t>Government benefits and payments</t>
  </si>
  <si>
    <t>Public services</t>
  </si>
  <si>
    <t>Products</t>
  </si>
  <si>
    <t>Services</t>
  </si>
  <si>
    <t>Money/ debt</t>
  </si>
  <si>
    <t>Including issues with buying or selling property and disputes over title or ownership, boundary locations and rights of</t>
  </si>
  <si>
    <t>Disputes about maintenance, including of boundaries, trees, gardens</t>
  </si>
  <si>
    <t>Problems or disputes to do with noise, animals or unpleasant behaviour</t>
  </si>
  <si>
    <t>Other disputes with neighbours, such as issues with parking</t>
  </si>
  <si>
    <t>Problems or disputes with your landlord over your rent or return of deposit</t>
  </si>
  <si>
    <t>Problem with your landlord about the condition of your accommodation, including damage/repairs</t>
  </si>
  <si>
    <t>Eviction or threats of eviction or other harassment by a landlord</t>
  </si>
  <si>
    <t>Issues with a tenant, such as delayed/no payment of rent or dispute over a deposit</t>
  </si>
  <si>
    <t>Property-related issues such as, damage by tenants, or access to property</t>
  </si>
  <si>
    <t>Issues with tenants such as evictions or complaints</t>
  </si>
  <si>
    <t>Building/planning related disputes</t>
  </si>
  <si>
    <t>Issues with builders/tradespeople about the quality of construction or repairs or disputes about costs</t>
  </si>
  <si>
    <t>Disputes about communal repairs/maintenance/costs</t>
  </si>
  <si>
    <t>Problems or disputes concerning Local Property Tax or Council/local services</t>
  </si>
  <si>
    <t>Squatters</t>
  </si>
  <si>
    <t>Dispute with utilities/essential services (e.g. waste disposal, water, electricity, internet or other utility provider)</t>
  </si>
  <si>
    <t>Mortgage related issues, including repossession, threatened repossession or late payment</t>
  </si>
  <si>
    <t>Separation and/or divorce</t>
  </si>
  <si>
    <t>Violent or controlling behaviour by a current or former partner</t>
  </si>
  <si>
    <t>Violent or controlling behaviour by another family member</t>
  </si>
  <si>
    <t>Issues related to child access, custody, or child/spousal maintenance</t>
  </si>
  <si>
    <t>Problems or disputes related to elderly or other dependent adult care</t>
  </si>
  <si>
    <t>Disputes related to inheritance or a will</t>
  </si>
  <si>
    <t>Issues obtaining or with an Irish visa, or residence card renewal</t>
  </si>
  <si>
    <t>Issues seeking international protection, subsidiary protection, or permission to remain</t>
  </si>
  <si>
    <t>Issues with an overseas visa / EU residence / emigration</t>
  </si>
  <si>
    <t>Issues applying for Irish naturalisation/citizenship</t>
  </si>
  <si>
    <t>28</t>
  </si>
  <si>
    <t>Other citizenship or migration related issue</t>
  </si>
  <si>
    <t>29</t>
  </si>
  <si>
    <t>A road traffic accident, in which you were injured, caused or made worse by someone else</t>
  </si>
  <si>
    <t>30</t>
  </si>
  <si>
    <t>A road traffic accident in which someone else was injured, that you caused or made worse</t>
  </si>
  <si>
    <t>31</t>
  </si>
  <si>
    <t>Work-related accident</t>
  </si>
  <si>
    <t>32</t>
  </si>
  <si>
    <t>Wrong or negligent medical treatment</t>
  </si>
  <si>
    <t>33</t>
  </si>
  <si>
    <t>Other injury or illness caused or worsened by someone else</t>
  </si>
  <si>
    <t>34</t>
  </si>
  <si>
    <t>Issues with jobseekers benefit or jobseekers allowance</t>
  </si>
  <si>
    <t>35</t>
  </si>
  <si>
    <t>Issues related to maternity/parental government benefit</t>
  </si>
  <si>
    <t>36</t>
  </si>
  <si>
    <t>Issues related to the State pension</t>
  </si>
  <si>
    <t>37</t>
  </si>
  <si>
    <t>Issues with education-related grants (e.g. student grant scheme)</t>
  </si>
  <si>
    <t>38</t>
  </si>
  <si>
    <t>Issues with Disability Allowance</t>
  </si>
  <si>
    <t>39</t>
  </si>
  <si>
    <t>Other government benefit/payment issues</t>
  </si>
  <si>
    <t>40</t>
  </si>
  <si>
    <t>Issues obtaining an Irish Passport, other ID, licences or other official documents</t>
  </si>
  <si>
    <t>41</t>
  </si>
  <si>
    <t>Issues with obtaining healthcare or disability services</t>
  </si>
  <si>
    <t>42</t>
  </si>
  <si>
    <t>Issues with obtaining government/social housing (excluding issues experienced as a tenant)</t>
  </si>
  <si>
    <t>43</t>
  </si>
  <si>
    <t>Issues with obtaining education</t>
  </si>
  <si>
    <t>44</t>
  </si>
  <si>
    <t>Product/purchases not delivered or significantly delayed</t>
  </si>
  <si>
    <t>45</t>
  </si>
  <si>
    <t>Difficulty getting refunds, repairs or replacements for products that were faulty, damaged or not as described</t>
  </si>
  <si>
    <t>46</t>
  </si>
  <si>
    <t>Issues with over-charging or hidden or unexpected fees</t>
  </si>
  <si>
    <t>47</t>
  </si>
  <si>
    <t>Issues with quality of services or other service-related disputes</t>
  </si>
  <si>
    <t>48</t>
  </si>
  <si>
    <t>Unable to pay bills/loans/debts, including buy-now-pay-later (excluding mortgage and rental payments)</t>
  </si>
  <si>
    <t>49</t>
  </si>
  <si>
    <t>Disputes about insurance coverage/claim</t>
  </si>
  <si>
    <t>50</t>
  </si>
  <si>
    <t>Disputes with the bank or other financial institutions, including refusal of credit/loan/mortgage</t>
  </si>
  <si>
    <t>51</t>
  </si>
  <si>
    <t>Disputes about tax assessments/payments/refunds</t>
  </si>
  <si>
    <t>52</t>
  </si>
  <si>
    <t>Difficulties getting someone to pay money they owe you (other than as a landlord)</t>
  </si>
  <si>
    <t>53</t>
  </si>
  <si>
    <t>Loss of a job or issues with pay/wages or other benefits</t>
  </si>
  <si>
    <t>54</t>
  </si>
  <si>
    <t>Exposure to health and safety risks</t>
  </si>
  <si>
    <t>55</t>
  </si>
  <si>
    <t>Conflicts with employer or other employees, including discrimination and harassment</t>
  </si>
  <si>
    <t>56</t>
  </si>
  <si>
    <t>Other employment-related disputes</t>
  </si>
  <si>
    <t>Ongoing/too early to say</t>
  </si>
  <si>
    <t>Done with, issue persists, but all have given up trying to resolve it further</t>
  </si>
  <si>
    <t>Done with, issue resolved</t>
  </si>
  <si>
    <t>Don't know</t>
  </si>
  <si>
    <t>0</t>
  </si>
  <si>
    <t>Not at all helpful</t>
  </si>
  <si>
    <t>Not very helpful</t>
  </si>
  <si>
    <t>Fairly helpful</t>
  </si>
  <si>
    <t>Very helpful</t>
  </si>
  <si>
    <t>Not applicable</t>
  </si>
  <si>
    <t>Haven't done / I didn't do anything and don't expect to</t>
  </si>
  <si>
    <t>Nothing yet but expect to</t>
  </si>
  <si>
    <t>Have done something (please specify briefly)</t>
  </si>
  <si>
    <t>No, as it has resolved itself or is no longer an issue</t>
  </si>
  <si>
    <t>Strongly agree</t>
  </si>
  <si>
    <t>Agree</t>
  </si>
  <si>
    <t>Disagree</t>
  </si>
  <si>
    <t>Strongly disagree</t>
  </si>
  <si>
    <t>I don't know</t>
  </si>
  <si>
    <t>A court judgment</t>
  </si>
  <si>
    <t>A tribunal decision</t>
  </si>
  <si>
    <t>A decision or direction by another type of authority (e.g. Ombudsman, Gardai, government agency, local authority)</t>
  </si>
  <si>
    <t>As a result of another type of mediation, conciliation or other dispute resolution, including using a complaints process</t>
  </si>
  <si>
    <t>Following exchanges between lawyers acting on behalf of one or more parties</t>
  </si>
  <si>
    <t>Following the intervention of a third person (e.g. a community leader)</t>
  </si>
  <si>
    <t>I reached an agreement without any assistance of a lawyer or third person</t>
  </si>
  <si>
    <t>I got what I wanted without having to do anything</t>
  </si>
  <si>
    <t>I made changes to avoid the issue (e.g. changed job, housing)</t>
  </si>
  <si>
    <t>I gave up trying to do anything and nothing further happened</t>
  </si>
  <si>
    <t>Some other way. Please describe how.</t>
  </si>
  <si>
    <t>Fair to everybody concerned</t>
  </si>
  <si>
    <t>Not fair to everybody concerned</t>
  </si>
  <si>
    <t>None at all</t>
  </si>
  <si>
    <t>Slight</t>
  </si>
  <si>
    <t>Moderate</t>
  </si>
  <si>
    <t>High</t>
  </si>
  <si>
    <t>Severe</t>
  </si>
  <si>
    <t>Yes, to a great extent</t>
  </si>
  <si>
    <t>Yes, to some extent</t>
  </si>
  <si>
    <t>White Irish</t>
  </si>
  <si>
    <t>Irish Traveller</t>
  </si>
  <si>
    <t>Roma</t>
  </si>
  <si>
    <t>Any other White background, please specify:</t>
  </si>
  <si>
    <t>Black Irish</t>
  </si>
  <si>
    <t>Black African</t>
  </si>
  <si>
    <t>Any other Black background, please specify:</t>
  </si>
  <si>
    <t>Asian Irish</t>
  </si>
  <si>
    <t>Asian Indian</t>
  </si>
  <si>
    <t>Chinese</t>
  </si>
  <si>
    <t>Any other Asian background, please specify:</t>
  </si>
  <si>
    <t>Arab</t>
  </si>
  <si>
    <t>Mixed group/background, please specify:</t>
  </si>
  <si>
    <t>Other group/background, please specify:</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</si>
  <si>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</si>
  <si>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</si>
  <si>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</si>
  <si>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</si>
  <si>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</si>
  <si>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</si>
  <si>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</si>
  <si>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</si>
  <si>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</si>
  <si>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</si>
  <si>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</si>
  <si>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</si>
  <si>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</si>
  <si>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</si>
  <si>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</si>
  <si>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</si>
  <si>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</si>
  <si>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</si>
  <si>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</si>
  <si>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</si>
  <si>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</si>
  <si>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</si>
  <si>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</si>
  <si>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</si>
  <si>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</si>
  <si>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</si>
  <si>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</si>
  <si>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</si>
  <si>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</si>
  <si>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</si>
  <si>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</si>
  <si>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</si>
  <si>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</si>
  <si>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</si>
  <si>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</si>
  <si>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</si>
  <si>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</si>
  <si>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</si>
  <si>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</si>
  <si>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</si>
  <si>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</si>
  <si>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</si>
  <si>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</si>
  <si>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</si>
  <si>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</si>
  <si>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</si>
  <si>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</si>
  <si>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</si>
  <si>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</si>
  <si>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</si>
  <si>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</si>
  <si>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</si>
  <si>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</si>
  <si>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</si>
  <si>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</si>
  <si>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</si>
  <si>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57</t>
  </si>
  <si>
    <t>1956</t>
  </si>
  <si>
    <t>58</t>
  </si>
  <si>
    <t>1957</t>
  </si>
  <si>
    <t>59</t>
  </si>
  <si>
    <t>1958</t>
  </si>
  <si>
    <t>60</t>
  </si>
  <si>
    <t>1959</t>
  </si>
  <si>
    <t>61</t>
  </si>
  <si>
    <t>1960</t>
  </si>
  <si>
    <t>62</t>
  </si>
  <si>
    <t>1961</t>
  </si>
  <si>
    <t>63</t>
  </si>
  <si>
    <t>1962</t>
  </si>
  <si>
    <t>64</t>
  </si>
  <si>
    <t>1963</t>
  </si>
  <si>
    <t>65</t>
  </si>
  <si>
    <t>1964</t>
  </si>
  <si>
    <t>66</t>
  </si>
  <si>
    <t>1965</t>
  </si>
  <si>
    <t>67</t>
  </si>
  <si>
    <t>1966</t>
  </si>
  <si>
    <t>68</t>
  </si>
  <si>
    <t>1967</t>
  </si>
  <si>
    <t>69</t>
  </si>
  <si>
    <t>1968</t>
  </si>
  <si>
    <t>70</t>
  </si>
  <si>
    <t>1969</t>
  </si>
  <si>
    <t>71</t>
  </si>
  <si>
    <t>1970</t>
  </si>
  <si>
    <t>72</t>
  </si>
  <si>
    <t>1971</t>
  </si>
  <si>
    <t>73</t>
  </si>
  <si>
    <t>1972</t>
  </si>
  <si>
    <t>74</t>
  </si>
  <si>
    <t>1973</t>
  </si>
  <si>
    <t>75</t>
  </si>
  <si>
    <t>1974</t>
  </si>
  <si>
    <t>76</t>
  </si>
  <si>
    <t>1975</t>
  </si>
  <si>
    <t>77</t>
  </si>
  <si>
    <t>1976</t>
  </si>
  <si>
    <t>78</t>
  </si>
  <si>
    <t>1977</t>
  </si>
  <si>
    <t>79</t>
  </si>
  <si>
    <t>1978</t>
  </si>
  <si>
    <t>80</t>
  </si>
  <si>
    <t>1979</t>
  </si>
  <si>
    <t>81</t>
  </si>
  <si>
    <t>1980</t>
  </si>
  <si>
    <t>82</t>
  </si>
  <si>
    <t>1981</t>
  </si>
  <si>
    <t>83</t>
  </si>
  <si>
    <t>1982</t>
  </si>
  <si>
    <t>84</t>
  </si>
  <si>
    <t>1983</t>
  </si>
  <si>
    <t>85</t>
  </si>
  <si>
    <t>1984</t>
  </si>
  <si>
    <t>86</t>
  </si>
  <si>
    <t>1985</t>
  </si>
  <si>
    <t>87</t>
  </si>
  <si>
    <t>1986</t>
  </si>
  <si>
    <t>88</t>
  </si>
  <si>
    <t>1987</t>
  </si>
  <si>
    <t>89</t>
  </si>
  <si>
    <t>1988</t>
  </si>
  <si>
    <t>90</t>
  </si>
  <si>
    <t>1989</t>
  </si>
  <si>
    <t>91</t>
  </si>
  <si>
    <t>1990</t>
  </si>
  <si>
    <t>92</t>
  </si>
  <si>
    <t>1991</t>
  </si>
  <si>
    <t>93</t>
  </si>
  <si>
    <t>1992</t>
  </si>
  <si>
    <t>94</t>
  </si>
  <si>
    <t>1993</t>
  </si>
  <si>
    <t>95</t>
  </si>
  <si>
    <t>1994</t>
  </si>
  <si>
    <t>96</t>
  </si>
  <si>
    <t>1995</t>
  </si>
  <si>
    <t>97</t>
  </si>
  <si>
    <t>1996</t>
  </si>
  <si>
    <t>98</t>
  </si>
  <si>
    <t>1997</t>
  </si>
  <si>
    <t>99</t>
  </si>
  <si>
    <t>1998</t>
  </si>
  <si>
    <t>100</t>
  </si>
  <si>
    <t>1999</t>
  </si>
  <si>
    <t>101</t>
  </si>
  <si>
    <t>2000</t>
  </si>
  <si>
    <t>102</t>
  </si>
  <si>
    <t>2001</t>
  </si>
  <si>
    <t>103</t>
  </si>
  <si>
    <t>2002</t>
  </si>
  <si>
    <t>104</t>
  </si>
  <si>
    <t>2003</t>
  </si>
  <si>
    <t>105</t>
  </si>
  <si>
    <t>2004</t>
  </si>
  <si>
    <t>106</t>
  </si>
  <si>
    <t>2005</t>
  </si>
  <si>
    <t>107</t>
  </si>
  <si>
    <t>2006</t>
  </si>
  <si>
    <t>108</t>
  </si>
  <si>
    <t>2007</t>
  </si>
  <si>
    <t>109</t>
  </si>
  <si>
    <t>2008</t>
  </si>
  <si>
    <t>110</t>
  </si>
  <si>
    <t>2009</t>
  </si>
  <si>
    <t>111</t>
  </si>
  <si>
    <t>2010</t>
  </si>
  <si>
    <t>112</t>
  </si>
  <si>
    <t>2011</t>
  </si>
  <si>
    <t>113</t>
  </si>
  <si>
    <t>2012</t>
  </si>
  <si>
    <t>114</t>
  </si>
  <si>
    <t>2013</t>
  </si>
  <si>
    <t>115</t>
  </si>
  <si>
    <t>2014</t>
  </si>
  <si>
    <t>116</t>
  </si>
  <si>
    <t>2015</t>
  </si>
  <si>
    <t>117</t>
  </si>
  <si>
    <t>2016</t>
  </si>
  <si>
    <t>118</t>
  </si>
  <si>
    <t>2017</t>
  </si>
  <si>
    <t>119</t>
  </si>
  <si>
    <t>2018</t>
  </si>
  <si>
    <t>120</t>
  </si>
  <si>
    <t>2019</t>
  </si>
  <si>
    <t>121</t>
  </si>
  <si>
    <t>2020</t>
  </si>
  <si>
    <t>122</t>
  </si>
  <si>
    <t>2021</t>
  </si>
  <si>
    <t>123</t>
  </si>
  <si>
    <t>2022</t>
  </si>
  <si>
    <t>124</t>
  </si>
  <si>
    <t>2023</t>
  </si>
  <si>
    <t>125</t>
  </si>
  <si>
    <t>2024</t>
  </si>
  <si>
    <t>126</t>
  </si>
  <si>
    <t>2025</t>
  </si>
  <si>
    <t>127</t>
  </si>
  <si>
    <t>Single (Never married or never in a civil partnership)</t>
  </si>
  <si>
    <t>Married</t>
  </si>
  <si>
    <t>Civil Partnership</t>
  </si>
  <si>
    <t>Separated</t>
  </si>
  <si>
    <t>Divorced</t>
  </si>
  <si>
    <t>Widowed</t>
  </si>
  <si>
    <t>6+</t>
  </si>
  <si>
    <t>None</t>
  </si>
  <si>
    <t>Less than Ç30,000 a year (less than Ç580/week)</t>
  </si>
  <si>
    <t>Between Ç30,000 and Ç70,000 a year (Ç580 to Ç1,350/week)</t>
  </si>
  <si>
    <t>Between Ç70,000 and Ç120,000 a year (Ç1,350 to Ç2,300/week)</t>
  </si>
  <si>
    <t>More than Ç120,000 a year (more than Ç2,300/week)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</si>
</sst>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7" x14ac:knownFonts="1">
    <font>
      <sz val="11"/>
      <color theme="1"/>
      <name val="Calibri"/>
      <family val="2"/>
      <scheme val="minor"/>
    </font>
    <font>
      <sz val="12"/>
      <color rgb="FF264A60"/>
      <name val="Arial"/>
      <family val="2"/>
    </font>
    <font>
      <sz val="12"/>
      <color rgb="FF010205"/>
      <name val="Arial"/>
      <family val="2"/>
    </font>
    <font>
      <sz val="11"/>
      <color theme="1"/>
      <name val="Calibri"/>
      <family val="2"/>
      <scheme val="minor"/>
    </font>
    <font>
      <sz val="10"/>
      <name val="Arial"/>
      <family val="2"/>
    </font>
    <font>
      <b/>
      <sz val="12"/>
      <color theme="1"/>
      <name val="Arial"/>
      <family val="2"/>
    </font>
    <font>
      <sz val="12"/>
      <color theme="1"/>
      <name val="Arial"/>
      <family val="2"/>
    </font>
  </fonts>
  <fills count="6">
    <fill>
      <patternFill patternType="none"/>
    </fill>
    <fill>
      <patternFill patternType="gray125"/>
    </fill>
    <fill>
      <patternFill patternType="none">
        <bgColor rgb="FFFFFFFF"/>
      </patternFill>
    </fill>
    <fill>
      <patternFill patternType="solid">
        <fgColor rgb="FFE0E0E0"/>
      </patternFill>
    </fill>
    <fill>
      <patternFill patternType="solid">
        <fgColor rgb="FFF9F9FB"/>
      </patternFill>
    </fill>
    <fill>
      <patternFill patternType="solid">
        <fgColor rgb="FF92D050"/>
        <bgColor indexed="64"/>
      </patternFill>
    </fill>
  </fills>
  <borders count="15">
    <border>
      <left/>
      <right/>
      <top/>
      <bottom/>
      <diagonal/>
    </border>
    <border>
      <left/>
      <right/>
      <top/>
      <bottom style="thin">
        <color rgb="FF152935"/>
      </bottom>
      <diagonal/>
    </border>
    <border>
      <left/>
      <right style="thin">
        <color rgb="FFE0E0E0"/>
      </right>
      <top/>
      <bottom style="thin">
        <color rgb="FF152935"/>
      </bottom>
      <diagonal/>
    </border>
    <border>
      <left style="thin">
        <color rgb="FFE0E0E0"/>
      </left>
      <right style="thin">
        <color rgb="FFE0E0E0"/>
      </right>
      <top/>
      <bottom style="thin">
        <color rgb="FF152935"/>
      </bottom>
      <diagonal/>
    </border>
    <border>
      <left/>
      <right/>
      <top style="thin">
        <color rgb="FF152935"/>
      </top>
      <bottom style="thin">
        <color rgb="FFAEAEAE"/>
      </bottom>
      <diagonal/>
    </border>
    <border>
      <left/>
      <right/>
      <top style="thin">
        <color rgb="FFAEAEAE"/>
      </top>
      <bottom style="thin">
        <color rgb="FFAEAEAE"/>
      </bottom>
      <diagonal/>
    </border>
    <border>
      <left/>
      <right/>
      <top style="thin">
        <color rgb="FFAEAEAE"/>
      </top>
      <bottom style="thin">
        <color rgb="FF152935"/>
      </bottom>
      <diagonal/>
    </border>
    <border>
      <left/>
      <right style="thin">
        <color rgb="FFE0E0E0"/>
      </right>
      <top style="thin">
        <color rgb="FF152935"/>
      </top>
      <bottom style="thin">
        <color rgb="FFAEAEAE"/>
      </bottom>
      <diagonal/>
    </border>
    <border>
      <left style="thin">
        <color rgb="FFE0E0E0"/>
      </left>
      <right style="thin">
        <color rgb="FFE0E0E0"/>
      </right>
      <top style="thin">
        <color rgb="FF152935"/>
      </top>
      <bottom style="thin">
        <color rgb="FFAEAEAE"/>
      </bottom>
      <diagonal/>
    </border>
    <border>
      <left/>
      <right style="thin">
        <color rgb="FFE0E0E0"/>
      </right>
      <top style="thin">
        <color rgb="FFAEAEAE"/>
      </top>
      <bottom style="thin">
        <color rgb="FFAEAEAE"/>
      </bottom>
      <diagonal/>
    </border>
    <border>
      <left style="thin">
        <color rgb="FFE0E0E0"/>
      </left>
      <right style="thin">
        <color rgb="FFE0E0E0"/>
      </right>
      <top style="thin">
        <color rgb="FFAEAEAE"/>
      </top>
      <bottom style="thin">
        <color rgb="FFAEAEAE"/>
      </bottom>
      <diagonal/>
    </border>
    <border>
      <left/>
      <right style="thin">
        <color rgb="FFE0E0E0"/>
      </right>
      <top style="thin">
        <color rgb="FFAEAEAE"/>
      </top>
      <bottom style="thin">
        <color rgb="FF152935"/>
      </bottom>
      <diagonal/>
    </border>
    <border>
      <left style="thin">
        <color rgb="FFE0E0E0"/>
      </left>
      <right style="thin">
        <color rgb="FFE0E0E0"/>
      </right>
      <top style="thin">
        <color rgb="FFAEAEAE"/>
      </top>
      <bottom style="thin">
        <color rgb="FF15293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4">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 fillId="2" borderId="0"/>
  </cellStyleXfs>
  <cellXfs count="38">
    <xf numFmtId="0" fontId="0" fillId="0" borderId="0" xfId="0"/>
    <xf numFmtId="0" fontId="1" fillId="2" borderId="1" xfId="5" applyFont="1" applyFill="1" applyBorder="1" applyAlignment="1">
      <alignment horizontal="left" wrapText="1"/>
    </xf>
    <xf numFmtId="0" fontId="1" fillId="2" borderId="2" xfId="6" applyFont="1" applyFill="1" applyBorder="1" applyAlignment="1">
      <alignment horizontal="center" wrapText="1"/>
    </xf>
    <xf numFmtId="0" fontId="1" fillId="2" borderId="3" xfId="7" applyFont="1" applyFill="1" applyBorder="1" applyAlignment="1">
      <alignment horizontal="center" wrapText="1"/>
    </xf>
    <xf numFmtId="0" fontId="1" fillId="3" borderId="4" xfId="9" applyFont="1" applyFill="1" applyBorder="1" applyAlignment="1">
      <alignment horizontal="left" vertical="top" wrapText="1"/>
    </xf>
    <xf numFmtId="0" fontId="1" fillId="3" borderId="5" xfId="10" applyFont="1" applyFill="1" applyBorder="1" applyAlignment="1">
      <alignment horizontal="left" vertical="top" wrapText="1"/>
    </xf>
    <xf numFmtId="0" fontId="1" fillId="3" borderId="6" xfId="11" applyFont="1" applyFill="1" applyBorder="1" applyAlignment="1">
      <alignment horizontal="left" vertical="top" wrapText="1"/>
    </xf>
    <xf numFmtId="164" fontId="2" fillId="4" borderId="7" xfId="12" applyNumberFormat="1" applyFont="1" applyFill="1" applyBorder="1" applyAlignment="1">
      <alignment horizontal="right" vertical="top"/>
    </xf>
    <xf numFmtId="0" fontId="2" fillId="4" borderId="8" xfId="13" applyFont="1" applyFill="1" applyBorder="1" applyAlignment="1">
      <alignment horizontal="left" vertical="top" wrapText="1"/>
    </xf>
    <xf numFmtId="164" fontId="2" fillId="4" borderId="9" xfId="16" applyNumberFormat="1" applyFont="1" applyFill="1" applyBorder="1" applyAlignment="1">
      <alignment horizontal="right" vertical="top"/>
    </xf>
    <xf numFmtId="0" fontId="2" fillId="4" borderId="10" xfId="17" applyFont="1" applyFill="1" applyBorder="1" applyAlignment="1">
      <alignment horizontal="left" vertical="top" wrapText="1"/>
    </xf>
    <xf numFmtId="164" fontId="2" fillId="4" borderId="11" xfId="20" applyNumberFormat="1" applyFont="1" applyFill="1" applyBorder="1" applyAlignment="1">
      <alignment horizontal="right" vertical="top"/>
    </xf>
    <xf numFmtId="0" fontId="2" fillId="4" borderId="12" xfId="21" applyFont="1" applyFill="1" applyBorder="1" applyAlignment="1">
      <alignment horizontal="left" vertical="top" wrapText="1"/>
    </xf>
    <xf numFmtId="0" fontId="1" fillId="2" borderId="1" xfId="30" applyFont="1" applyFill="1" applyBorder="1" applyAlignment="1">
      <alignment horizontal="center" wrapText="1"/>
    </xf>
    <xf numFmtId="0" fontId="2" fillId="4" borderId="4" xfId="40" applyFont="1" applyFill="1" applyBorder="1" applyAlignment="1">
      <alignment horizontal="left" vertical="top" wrapText="1"/>
    </xf>
    <xf numFmtId="0" fontId="2" fillId="4" borderId="5" xfId="41" applyFont="1" applyFill="1" applyBorder="1" applyAlignment="1">
      <alignment horizontal="left" vertical="top" wrapText="1"/>
    </xf>
    <xf numFmtId="0" fontId="2" fillId="4" borderId="6" xfId="42" applyFont="1" applyFill="1" applyBorder="1" applyAlignment="1">
      <alignment horizontal="left" vertical="top" wrapText="1"/>
    </xf>
    <xf numFmtId="0" fontId="5" fillId="0" borderId="0" xfId="0" applyFont="1"/>
    <xf numFmtId="0" fontId="5" fillId="2" borderId="0" xfId="0" applyFont="1" applyFill="1"/>
    <xf numFmtId="0" fontId="6" fillId="0" borderId="0" xfId="0" applyFont="1"/>
    <xf numFmtId="0" fontId="6" fillId="0" borderId="0" xfId="0" applyFont="1" applyAlignment="1">
      <alignment horizontal="left" vertical="center"/>
    </xf>
    <xf numFmtId="0" fontId="6" fillId="0" borderId="0" xfId="0" applyFont="1" applyAlignment="1">
      <alignment horizontal="left" vertical="center" wrapText="1"/>
    </xf>
    <xf numFmtId="0" fontId="0" fillId="0" borderId="0" xfId="0" applyAlignment="1">
      <alignment wrapText="1"/>
    </xf>
    <xf numFmtId="0" fontId="6" fillId="0" borderId="0" xfId="0" applyFont="1" applyAlignment="1">
      <alignment wrapText="1"/>
    </xf>
    <xf numFmtId="0" fontId="6" fillId="0" borderId="13" xfId="32" applyFont="1" applyBorder="1" applyAlignment="1">
      <alignment horizontal="left" vertical="top" wrapText="1"/>
    </xf>
    <xf numFmtId="0" fontId="6" fillId="0" borderId="13" xfId="37" applyFont="1" applyBorder="1" applyAlignment="1">
      <alignment horizontal="left" vertical="top" wrapText="1"/>
    </xf>
    <xf numFmtId="0" fontId="1" fillId="3" borderId="14" xfId="32" applyFont="1" applyFill="1" applyBorder="1" applyAlignment="1">
      <alignment horizontal="left" vertical="top" wrapText="1"/>
    </xf>
    <xf numFmtId="0" fontId="1" fillId="3" borderId="14" xfId="37" applyFont="1" applyFill="1" applyBorder="1" applyAlignment="1">
      <alignment horizontal="left" vertical="top" wrapText="1"/>
    </xf>
    <xf numFmtId="0" fontId="5" fillId="5" borderId="0" xfId="0" applyFont="1" applyFill="1" applyAlignment="1">
      <alignment wrapText="1"/>
    </xf>
    <xf numFmtId="0" fontId="1" fillId="0" borderId="13" xfId="34" applyFont="1" applyBorder="1" applyAlignment="1">
      <alignment horizontal="left" vertical="top" wrapText="1"/>
    </xf>
    <xf numFmtId="0" fontId="1" fillId="0" borderId="13" xfId="36" applyFont="1" applyBorder="1" applyAlignment="1">
      <alignment horizontal="left" vertical="top" wrapText="1"/>
    </xf>
    <xf numFmtId="0" fontId="0" fillId="0" borderId="13" xfId="0" applyBorder="1" applyAlignment="1">
      <alignment wrapText="1"/>
    </xf>
    <xf numFmtId="0" fontId="1" fillId="2" borderId="0" xfId="28" applyFont="1" applyFill="1" applyAlignment="1">
      <alignment horizontal="left" wrapText="1"/>
    </xf>
    <xf numFmtId="0" fontId="1" fillId="2" borderId="0" xfId="29" applyFont="1" applyFill="1" applyAlignment="1">
      <alignment horizontal="left" wrapText="1"/>
    </xf>
    <xf numFmtId="0" fontId="1" fillId="3" borderId="14" xfId="31" applyFont="1" applyFill="1" applyBorder="1" applyAlignment="1">
      <alignment horizontal="left" vertical="top" wrapText="1"/>
    </xf>
    <xf numFmtId="0" fontId="1" fillId="3" borderId="14" xfId="32" applyFont="1" applyFill="1" applyBorder="1" applyAlignment="1">
      <alignment horizontal="left" vertical="top" wrapText="1"/>
    </xf>
    <xf numFmtId="0" fontId="6" fillId="0" borderId="13" xfId="32" applyFont="1" applyBorder="1" applyAlignment="1">
      <alignment horizontal="left" vertical="top" wrapText="1"/>
    </xf>
    <xf numFmtId="0" fontId="6" fillId="0" borderId="13" xfId="31" applyFont="1" applyBorder="1" applyAlignment="1">
      <alignment horizontal="left" vertical="top" wrapText="1"/>
    </xf>
  </cellXfs>
  <cellStyles count="44">
    <cellStyle name="Normal" xfId="0" builtinId="0"/>
    <cellStyle name="Normal 2" xfId="43" xr:uid="{DA0594D2-2249-4F62-9F94-8CF3C0625943}"/>
    <cellStyle name="style1759996758939" xfId="1" xr:uid="{00000000-0005-0000-0000-000001000000}"/>
    <cellStyle name="style1759996759002" xfId="2" xr:uid="{00000000-0005-0000-0000-000002000000}"/>
    <cellStyle name="style1759996759044" xfId="3" xr:uid="{00000000-0005-0000-0000-000003000000}"/>
    <cellStyle name="style1759996759091" xfId="4" xr:uid="{00000000-0005-0000-0000-000004000000}"/>
    <cellStyle name="style1759996759128" xfId="5" xr:uid="{00000000-0005-0000-0000-000005000000}"/>
    <cellStyle name="style1759996759170" xfId="6" xr:uid="{00000000-0005-0000-0000-000006000000}"/>
    <cellStyle name="style1759996759213" xfId="7" xr:uid="{00000000-0005-0000-0000-000007000000}"/>
    <cellStyle name="style1759996759252" xfId="8" xr:uid="{00000000-0005-0000-0000-000008000000}"/>
    <cellStyle name="style1759996759296" xfId="9" xr:uid="{00000000-0005-0000-0000-000009000000}"/>
    <cellStyle name="style1759996759343" xfId="10" xr:uid="{00000000-0005-0000-0000-00000A000000}"/>
    <cellStyle name="style1759996759496" xfId="11" xr:uid="{00000000-0005-0000-0000-00000B000000}"/>
    <cellStyle name="style1759996759538" xfId="12" xr:uid="{00000000-0005-0000-0000-00000C000000}"/>
    <cellStyle name="style1759996759590" xfId="13" xr:uid="{00000000-0005-0000-0000-00000D000000}"/>
    <cellStyle name="style1759996759629" xfId="14" xr:uid="{00000000-0005-0000-0000-00000E000000}"/>
    <cellStyle name="style1759996759661" xfId="15" xr:uid="{00000000-0005-0000-0000-00000F000000}"/>
    <cellStyle name="style1759996759698" xfId="16" xr:uid="{00000000-0005-0000-0000-000010000000}"/>
    <cellStyle name="style1759996759741" xfId="17" xr:uid="{00000000-0005-0000-0000-000011000000}"/>
    <cellStyle name="style1759996759780" xfId="18" xr:uid="{00000000-0005-0000-0000-000012000000}"/>
    <cellStyle name="style1759996759805" xfId="19" xr:uid="{00000000-0005-0000-0000-000013000000}"/>
    <cellStyle name="style1759996760271" xfId="20" xr:uid="{00000000-0005-0000-0000-000014000000}"/>
    <cellStyle name="style1759996760312" xfId="21" xr:uid="{00000000-0005-0000-0000-000015000000}"/>
    <cellStyle name="style1759996760344" xfId="22" xr:uid="{00000000-0005-0000-0000-000016000000}"/>
    <cellStyle name="style1759996760376" xfId="23" xr:uid="{00000000-0005-0000-0000-000017000000}"/>
    <cellStyle name="style1759996760416" xfId="24" xr:uid="{00000000-0005-0000-0000-000018000000}"/>
    <cellStyle name="style1759996760456" xfId="25" xr:uid="{00000000-0005-0000-0000-000019000000}"/>
    <cellStyle name="style1759996760490" xfId="26" xr:uid="{00000000-0005-0000-0000-00001A000000}"/>
    <cellStyle name="style1759996760524" xfId="27" xr:uid="{00000000-0005-0000-0000-00001B000000}"/>
    <cellStyle name="style1759996760594" xfId="28" xr:uid="{00000000-0005-0000-0000-00001C000000}"/>
    <cellStyle name="style1759996760631" xfId="29" xr:uid="{00000000-0005-0000-0000-00001D000000}"/>
    <cellStyle name="style1759996760671" xfId="30" xr:uid="{00000000-0005-0000-0000-00001E000000}"/>
    <cellStyle name="style1759996760694" xfId="31" xr:uid="{00000000-0005-0000-0000-00001F000000}"/>
    <cellStyle name="style1759996760726" xfId="32" xr:uid="{00000000-0005-0000-0000-000020000000}"/>
    <cellStyle name="style1759996760768" xfId="33" xr:uid="{00000000-0005-0000-0000-000021000000}"/>
    <cellStyle name="style1759996760805" xfId="34" xr:uid="{00000000-0005-0000-0000-000022000000}"/>
    <cellStyle name="style1759996760831" xfId="35" xr:uid="{00000000-0005-0000-0000-000023000000}"/>
    <cellStyle name="style1759996760852" xfId="36" xr:uid="{00000000-0005-0000-0000-000024000000}"/>
    <cellStyle name="style1759996761129" xfId="37" xr:uid="{00000000-0005-0000-0000-000025000000}"/>
    <cellStyle name="style1759996761161" xfId="38" xr:uid="{00000000-0005-0000-0000-000026000000}"/>
    <cellStyle name="style1759996761195" xfId="39" xr:uid="{00000000-0005-0000-0000-000027000000}"/>
    <cellStyle name="style1759996761220" xfId="40" xr:uid="{00000000-0005-0000-0000-000028000000}"/>
    <cellStyle name="style1759996761245" xfId="41" xr:uid="{00000000-0005-0000-0000-000029000000}"/>
    <cellStyle name="style1759996761366" xfId="42" xr:uid="{00000000-0005-0000-0000-00002A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80"/>
  <sheetViews>
    <sheetView tabSelected="1" workbookViewId="0">
      <pane ySplit="1" topLeftCell="A459" activePane="bottomLeft" state="frozen"/>
      <selection pane="bottomLeft" activeCell="E473" sqref="E473"/>
    </sheetView>
  </sheetViews>
  <sheetFormatPr defaultColWidth="9.28515625" defaultRowHeight="15" outlineLevelCol="1" x14ac:dyDescent="0.2"/>
  <cols>
    <col min="1" max="1" width="29.42578125" style="19" bestFit="1" customWidth="1"/>
    <col min="2" max="2" width="10" style="19" customWidth="1"/>
    <col min="3" max="3" width="124.140625" style="19" customWidth="1"/>
    <col min="4" max="4" width="36.28515625" style="19" hidden="1" customWidth="1" outlineLevel="1"/>
    <col min="5" max="5" width="26.28515625" style="19" bestFit="1" customWidth="1" collapsed="1"/>
    <col min="6" max="6" width="9.28515625" style="19" customWidth="1"/>
    <col min="7" max="7" width="26.5703125" style="19" customWidth="1"/>
    <col min="8" max="8" width="45.140625" style="19" hidden="1" customWidth="1"/>
    <col min="9" max="9" width="33.42578125" style="19" hidden="1" customWidth="1"/>
    <col min="10" max="10" width="10.42578125" style="19" bestFit="1" customWidth="1"/>
    <col min="11" max="16384" width="9.28515625" style="19"/>
  </cols>
  <sheetData>
    <row r="1" spans="1:9" ht="15.75" x14ac:dyDescent="0.25">
      <c r="A1" s="1" t="s">
        <v>0</v>
      </c>
      <c r="B1" s="2" t="s">
        <v>1</v>
      </c>
      <c r="C1" s="3" t="s">
        <v>2</v>
      </c>
      <c r="D1" s="17" t="s">
        <v>3</v>
      </c>
      <c r="E1" s="18" t="s">
        <v>4</v>
      </c>
      <c r="F1" s="17" t="s">
        <v>5</v>
      </c>
      <c r="G1" s="17" t="s">
        <v>6</v>
      </c>
      <c r="H1" s="18" t="s">
        <v>7</v>
      </c>
      <c r="I1" s="18" t="s">
        <v>8</v>
      </c>
    </row>
    <row r="2" spans="1:9" x14ac:dyDescent="0.2">
      <c r="A2" s="4" t="s">
        <v>9</v>
      </c>
      <c r="B2" s="7">
        <v>1</v>
      </c>
      <c r="C2" s="8" t="s">
        <v>10</v>
      </c>
      <c r="D2" s="19" t="s">
        <v>11</v>
      </c>
      <c r="H2" s="19" t="str">
        <f t="shared" ref="H2:H33" si="0">_xlfn.CONCAT("label var ",A2," ",$H$1,C2,$H$1)</f>
        <v>label var respondentid "Respondent ID"</v>
      </c>
    </row>
    <row r="3" spans="1:9" x14ac:dyDescent="0.2">
      <c r="A3" s="5" t="s">
        <v>12</v>
      </c>
      <c r="B3" s="9">
        <v>2</v>
      </c>
      <c r="C3" s="10" t="s">
        <v>13</v>
      </c>
      <c r="D3" s="19" t="s">
        <v>14</v>
      </c>
      <c r="E3" s="19" t="s">
        <v>14</v>
      </c>
      <c r="H3" s="19" t="str">
        <f t="shared" si="0"/>
        <v>label var q11 "Q11. Gender. Do you identify as:"</v>
      </c>
      <c r="I3" s="19" t="str">
        <f t="shared" ref="I3:I15" si="1">_xlfn.CONCAT("rename ",A3," ",E3)</f>
        <v>rename q11 gend</v>
      </c>
    </row>
    <row r="4" spans="1:9" x14ac:dyDescent="0.2">
      <c r="A4" s="5" t="s">
        <v>15</v>
      </c>
      <c r="B4" s="9">
        <v>3</v>
      </c>
      <c r="C4" s="10" t="s">
        <v>16</v>
      </c>
      <c r="D4" s="19" t="s">
        <v>17</v>
      </c>
      <c r="E4" s="19" t="s">
        <v>17</v>
      </c>
      <c r="H4" s="19" t="str">
        <f t="shared" si="0"/>
        <v>label var q03 "Q3. Age"</v>
      </c>
      <c r="I4" s="19" t="str">
        <f t="shared" si="1"/>
        <v>rename q03 age</v>
      </c>
    </row>
    <row r="5" spans="1:9" x14ac:dyDescent="0.2">
      <c r="A5" s="5" t="s">
        <v>18</v>
      </c>
      <c r="B5" s="9">
        <v>4</v>
      </c>
      <c r="C5" s="10" t="s">
        <v>19</v>
      </c>
      <c r="D5" s="19" t="s">
        <v>20</v>
      </c>
      <c r="E5" s="19" t="s">
        <v>20</v>
      </c>
      <c r="H5" s="19" t="str">
        <f t="shared" si="0"/>
        <v>label var q18 "Q18. Which of the following is the highest level of education or training you have completed?"</v>
      </c>
      <c r="I5" s="19" t="str">
        <f t="shared" si="1"/>
        <v>rename q18 edu</v>
      </c>
    </row>
    <row r="6" spans="1:9" x14ac:dyDescent="0.2">
      <c r="A6" s="5" t="s">
        <v>21</v>
      </c>
      <c r="B6" s="9">
        <v>5</v>
      </c>
      <c r="C6" s="10" t="s">
        <v>22</v>
      </c>
      <c r="D6" s="19" t="s">
        <v>20</v>
      </c>
      <c r="E6" s="19" t="s">
        <v>23</v>
      </c>
      <c r="G6" s="19" t="s">
        <v>24</v>
      </c>
      <c r="H6" s="19" t="str">
        <f t="shared" si="0"/>
        <v>label var education "Education"</v>
      </c>
      <c r="I6" s="19" t="str">
        <f t="shared" si="1"/>
        <v>rename education edu_2</v>
      </c>
    </row>
    <row r="7" spans="1:9" x14ac:dyDescent="0.2">
      <c r="A7" s="5" t="s">
        <v>25</v>
      </c>
      <c r="B7" s="9">
        <v>6</v>
      </c>
      <c r="C7" s="10" t="s">
        <v>26</v>
      </c>
      <c r="D7" s="19" t="s">
        <v>27</v>
      </c>
      <c r="E7" s="19" t="s">
        <v>27</v>
      </c>
      <c r="H7" s="19" t="str">
        <f t="shared" si="0"/>
        <v>label var q17 "Q17. Which one of the following best describes your current situation?"</v>
      </c>
      <c r="I7" s="19" t="str">
        <f t="shared" si="1"/>
        <v>rename q17 emp</v>
      </c>
    </row>
    <row r="8" spans="1:9" x14ac:dyDescent="0.2">
      <c r="A8" s="5" t="s">
        <v>28</v>
      </c>
      <c r="B8" s="9">
        <v>7</v>
      </c>
      <c r="C8" s="10" t="s">
        <v>29</v>
      </c>
      <c r="D8" s="19" t="s">
        <v>27</v>
      </c>
      <c r="E8" s="19" t="s">
        <v>30</v>
      </c>
      <c r="G8" s="19" t="s">
        <v>31</v>
      </c>
      <c r="H8" s="19" t="str">
        <f t="shared" si="0"/>
        <v>label var employment "Employment"</v>
      </c>
      <c r="I8" s="19" t="str">
        <f t="shared" si="1"/>
        <v>rename employment emp_2</v>
      </c>
    </row>
    <row r="9" spans="1:9" ht="30" x14ac:dyDescent="0.2">
      <c r="A9" s="5" t="s">
        <v>32</v>
      </c>
      <c r="B9" s="9">
        <v>8</v>
      </c>
      <c r="C9" s="10" t="s">
        <v>33</v>
      </c>
      <c r="D9" s="19" t="s">
        <v>34</v>
      </c>
      <c r="E9" s="19" t="s">
        <v>34</v>
      </c>
      <c r="H9" s="19" t="str">
        <f t="shared" si="0"/>
        <v>label var qsocialgrade "QSocialGrade. Please indicate which occupational group best describes the main earner in your household, or which group fits best."</v>
      </c>
      <c r="I9" s="19" t="str">
        <f t="shared" si="1"/>
        <v>rename qsocialgrade work</v>
      </c>
    </row>
    <row r="10" spans="1:9" x14ac:dyDescent="0.2">
      <c r="A10" s="5" t="s">
        <v>35</v>
      </c>
      <c r="B10" s="9">
        <v>9</v>
      </c>
      <c r="C10" s="10" t="s">
        <v>36</v>
      </c>
      <c r="D10" s="19" t="s">
        <v>34</v>
      </c>
      <c r="E10" s="19" t="s">
        <v>37</v>
      </c>
      <c r="G10" s="19" t="s">
        <v>38</v>
      </c>
      <c r="H10" s="19" t="str">
        <f t="shared" si="0"/>
        <v>label var socialgrade "Social Grade"</v>
      </c>
      <c r="I10" s="19" t="str">
        <f t="shared" si="1"/>
        <v>rename socialgrade work_2</v>
      </c>
    </row>
    <row r="11" spans="1:9" x14ac:dyDescent="0.2">
      <c r="A11" s="5" t="s">
        <v>39</v>
      </c>
      <c r="B11" s="9">
        <v>10</v>
      </c>
      <c r="C11" s="10" t="s">
        <v>40</v>
      </c>
      <c r="D11" s="19" t="s">
        <v>41</v>
      </c>
      <c r="E11" s="19" t="s">
        <v>39</v>
      </c>
      <c r="H11" s="19" t="str">
        <f t="shared" si="0"/>
        <v>label var county "County. What is the name of the county where you currently live?"</v>
      </c>
      <c r="I11" s="19" t="str">
        <f t="shared" si="1"/>
        <v>rename county county</v>
      </c>
    </row>
    <row r="12" spans="1:9" x14ac:dyDescent="0.2">
      <c r="A12" s="5" t="s">
        <v>42</v>
      </c>
      <c r="B12" s="9">
        <v>11</v>
      </c>
      <c r="C12" s="10" t="s">
        <v>43</v>
      </c>
      <c r="D12" s="19" t="s">
        <v>44</v>
      </c>
      <c r="E12" s="19" t="s">
        <v>42</v>
      </c>
      <c r="H12" s="19" t="str">
        <f t="shared" si="0"/>
        <v>label var region "Region."</v>
      </c>
      <c r="I12" s="19" t="str">
        <f t="shared" si="1"/>
        <v>rename region region</v>
      </c>
    </row>
    <row r="13" spans="1:9" x14ac:dyDescent="0.2">
      <c r="A13" s="5" t="s">
        <v>45</v>
      </c>
      <c r="B13" s="9">
        <v>12</v>
      </c>
      <c r="C13" s="10" t="s">
        <v>46</v>
      </c>
      <c r="E13" s="19" t="s">
        <v>47</v>
      </c>
      <c r="H13" s="19" t="str">
        <f t="shared" si="0"/>
        <v>label var q23_1_1 "Q23_1. Are you currently or previously have been in the past two years...? - A tenant"</v>
      </c>
      <c r="I13" s="19" t="str">
        <f t="shared" si="1"/>
        <v>rename q23_1_1 tenant</v>
      </c>
    </row>
    <row r="14" spans="1:9" x14ac:dyDescent="0.2">
      <c r="A14" s="5" t="s">
        <v>48</v>
      </c>
      <c r="B14" s="9">
        <v>13</v>
      </c>
      <c r="C14" s="10" t="s">
        <v>49</v>
      </c>
      <c r="E14" s="19" t="s">
        <v>50</v>
      </c>
      <c r="H14" s="19" t="str">
        <f t="shared" si="0"/>
        <v>label var q23_1_2 "Q23_1. Are you currently or previously have been in the past two years...? - A landlord"</v>
      </c>
      <c r="I14" s="19" t="str">
        <f t="shared" si="1"/>
        <v>rename q23_1_2 landlord</v>
      </c>
    </row>
    <row r="15" spans="1:9" x14ac:dyDescent="0.2">
      <c r="A15" s="5" t="s">
        <v>51</v>
      </c>
      <c r="B15" s="9">
        <v>14</v>
      </c>
      <c r="C15" s="10" t="s">
        <v>52</v>
      </c>
      <c r="E15" s="19" t="s">
        <v>53</v>
      </c>
      <c r="H15" s="19" t="str">
        <f t="shared" si="0"/>
        <v>label var q23_1_3 "Q23_1. Are you currently or previously have been in the past two years...? - A home-owner"</v>
      </c>
      <c r="I15" s="19" t="str">
        <f t="shared" si="1"/>
        <v>rename q23_1_3 home_owner</v>
      </c>
    </row>
    <row r="16" spans="1:9" ht="30" x14ac:dyDescent="0.2">
      <c r="A16" s="5" t="s">
        <v>54</v>
      </c>
      <c r="B16" s="9">
        <v>15</v>
      </c>
      <c r="C16" s="10" t="s">
        <v>55</v>
      </c>
      <c r="D16" s="19" t="s">
        <v>56</v>
      </c>
      <c r="E16" s="19" t="s">
        <v>57</v>
      </c>
      <c r="H16" s="19" t="str">
        <f t="shared" si="0"/>
        <v>label var q23_2_01_1 "Q23_2_1_1. Issues experienced - Including issues with buying or selling property and disputes over title or ownership boundary locations and rights of way and Land Registry matters"</v>
      </c>
    </row>
    <row r="17" spans="1:8" x14ac:dyDescent="0.2">
      <c r="A17" s="5" t="s">
        <v>58</v>
      </c>
      <c r="B17" s="9">
        <v>16</v>
      </c>
      <c r="C17" s="10" t="s">
        <v>59</v>
      </c>
      <c r="D17" s="19" t="s">
        <v>56</v>
      </c>
      <c r="E17" s="19" t="s">
        <v>60</v>
      </c>
      <c r="H17" s="19" t="str">
        <f t="shared" si="0"/>
        <v>label var q23_2_02_1 "Q23_2_2_1. Issues experienced - Disputes about maintenance including of boundaries trees gardens"</v>
      </c>
    </row>
    <row r="18" spans="1:8" x14ac:dyDescent="0.2">
      <c r="A18" s="5" t="s">
        <v>61</v>
      </c>
      <c r="B18" s="9">
        <v>17</v>
      </c>
      <c r="C18" s="10" t="s">
        <v>62</v>
      </c>
      <c r="D18" s="19" t="s">
        <v>56</v>
      </c>
      <c r="E18" s="19" t="s">
        <v>63</v>
      </c>
      <c r="H18" s="19" t="str">
        <f t="shared" si="0"/>
        <v>label var q23_2_02_2 "Q23_2_2_2. Issues experienced - Problems or disputes to do with noise animals or unpleasant behaviour"</v>
      </c>
    </row>
    <row r="19" spans="1:8" x14ac:dyDescent="0.2">
      <c r="A19" s="5" t="s">
        <v>64</v>
      </c>
      <c r="B19" s="9">
        <v>18</v>
      </c>
      <c r="C19" s="10" t="s">
        <v>65</v>
      </c>
      <c r="D19" s="19" t="s">
        <v>56</v>
      </c>
      <c r="E19" s="19" t="s">
        <v>66</v>
      </c>
      <c r="H19" s="19" t="str">
        <f t="shared" si="0"/>
        <v>label var q23_2_02_3 "Q23_2_2_3. Issues experienced - Other disputes with neighbours such as issues with parking"</v>
      </c>
    </row>
    <row r="20" spans="1:8" x14ac:dyDescent="0.2">
      <c r="A20" s="5" t="s">
        <v>67</v>
      </c>
      <c r="B20" s="9">
        <v>19</v>
      </c>
      <c r="C20" s="10" t="s">
        <v>68</v>
      </c>
      <c r="D20" s="19" t="s">
        <v>56</v>
      </c>
      <c r="E20" s="19" t="s">
        <v>69</v>
      </c>
      <c r="H20" s="19" t="str">
        <f t="shared" si="0"/>
        <v>label var q23_2_03_1 "Q23_2_3_1. Issues experienced - Problems or disputes with your landlord over your rent or return of deposit"</v>
      </c>
    </row>
    <row r="21" spans="1:8" ht="30" x14ac:dyDescent="0.2">
      <c r="A21" s="5" t="s">
        <v>70</v>
      </c>
      <c r="B21" s="9">
        <v>20</v>
      </c>
      <c r="C21" s="10" t="s">
        <v>71</v>
      </c>
      <c r="D21" s="19" t="s">
        <v>56</v>
      </c>
      <c r="E21" s="19" t="s">
        <v>72</v>
      </c>
      <c r="H21" s="19" t="str">
        <f t="shared" si="0"/>
        <v>label var q23_2_03_2 "Q23_2_3_2. Issues experienced - Problem with your landlord about the condition of your accommodation including damage/repairs"</v>
      </c>
    </row>
    <row r="22" spans="1:8" x14ac:dyDescent="0.2">
      <c r="A22" s="5" t="s">
        <v>73</v>
      </c>
      <c r="B22" s="9">
        <v>21</v>
      </c>
      <c r="C22" s="10" t="s">
        <v>74</v>
      </c>
      <c r="D22" s="19" t="s">
        <v>56</v>
      </c>
      <c r="E22" s="19" t="s">
        <v>75</v>
      </c>
      <c r="H22" s="19" t="str">
        <f t="shared" si="0"/>
        <v>label var q23_2_03_3 "Q23_2_3_3. Issues experienced - Eviction or threats of eviction or other harassment by a landlord"</v>
      </c>
    </row>
    <row r="23" spans="1:8" x14ac:dyDescent="0.2">
      <c r="A23" s="5" t="s">
        <v>76</v>
      </c>
      <c r="B23" s="9">
        <v>22</v>
      </c>
      <c r="C23" s="10" t="s">
        <v>77</v>
      </c>
      <c r="D23" s="19" t="s">
        <v>56</v>
      </c>
      <c r="E23" s="19" t="s">
        <v>78</v>
      </c>
      <c r="H23" s="19" t="str">
        <f t="shared" si="0"/>
        <v>label var q23_2_04_1 "Q23_2_4_1. Issues experienced - Issues with a tenant such as delayed/no payment of rent or dispute over a deposit"</v>
      </c>
    </row>
    <row r="24" spans="1:8" x14ac:dyDescent="0.2">
      <c r="A24" s="5" t="s">
        <v>79</v>
      </c>
      <c r="B24" s="9">
        <v>23</v>
      </c>
      <c r="C24" s="10" t="s">
        <v>80</v>
      </c>
      <c r="D24" s="19" t="s">
        <v>56</v>
      </c>
      <c r="E24" s="19" t="s">
        <v>81</v>
      </c>
      <c r="H24" s="19" t="str">
        <f t="shared" si="0"/>
        <v>label var q23_2_04_2 "Q23_2_4_2. Issues experienced - Property-related issues such as damage by tenants or access to property"</v>
      </c>
    </row>
    <row r="25" spans="1:8" x14ac:dyDescent="0.2">
      <c r="A25" s="5" t="s">
        <v>82</v>
      </c>
      <c r="B25" s="9">
        <v>24</v>
      </c>
      <c r="C25" s="10" t="s">
        <v>83</v>
      </c>
      <c r="D25" s="19" t="s">
        <v>56</v>
      </c>
      <c r="E25" s="19" t="s">
        <v>84</v>
      </c>
      <c r="H25" s="19" t="str">
        <f t="shared" si="0"/>
        <v>label var q23_2_04_3 "Q23_2_4_3. Issues experienced - Issues with tenants such as evictions or complaints"</v>
      </c>
    </row>
    <row r="26" spans="1:8" x14ac:dyDescent="0.2">
      <c r="A26" s="5" t="s">
        <v>85</v>
      </c>
      <c r="B26" s="9">
        <v>25</v>
      </c>
      <c r="C26" s="10" t="s">
        <v>86</v>
      </c>
      <c r="D26" s="19" t="s">
        <v>56</v>
      </c>
      <c r="E26" s="19" t="s">
        <v>87</v>
      </c>
      <c r="H26" s="19" t="str">
        <f t="shared" si="0"/>
        <v>label var q23_2_05_1 "Q23_2_5_1. Issues experienced - Building/planning related disputes"</v>
      </c>
    </row>
    <row r="27" spans="1:8" ht="30" x14ac:dyDescent="0.2">
      <c r="A27" s="5" t="s">
        <v>88</v>
      </c>
      <c r="B27" s="9">
        <v>26</v>
      </c>
      <c r="C27" s="10" t="s">
        <v>89</v>
      </c>
      <c r="D27" s="19" t="s">
        <v>56</v>
      </c>
      <c r="E27" s="19" t="s">
        <v>90</v>
      </c>
      <c r="H27" s="19" t="str">
        <f t="shared" si="0"/>
        <v>label var q23_2_05_2 "Q23_2_5_2. Issues experienced - Issues with builders/tradespeople about the quality of construction or repairs or disputes about costs"</v>
      </c>
    </row>
    <row r="28" spans="1:8" x14ac:dyDescent="0.2">
      <c r="A28" s="5" t="s">
        <v>91</v>
      </c>
      <c r="B28" s="9">
        <v>27</v>
      </c>
      <c r="C28" s="10" t="s">
        <v>92</v>
      </c>
      <c r="D28" s="19" t="s">
        <v>56</v>
      </c>
      <c r="E28" s="19" t="s">
        <v>93</v>
      </c>
      <c r="H28" s="19" t="str">
        <f t="shared" si="0"/>
        <v>label var q23_2_05_3 "Q23_2_5_3. Issues experienced - Disputes about communal repairs/maintenance/costs"</v>
      </c>
    </row>
    <row r="29" spans="1:8" x14ac:dyDescent="0.2">
      <c r="A29" s="5" t="s">
        <v>94</v>
      </c>
      <c r="B29" s="9">
        <v>28</v>
      </c>
      <c r="C29" s="10" t="s">
        <v>95</v>
      </c>
      <c r="D29" s="19" t="s">
        <v>56</v>
      </c>
      <c r="E29" s="19" t="s">
        <v>96</v>
      </c>
      <c r="H29" s="19" t="str">
        <f t="shared" si="0"/>
        <v>label var q23_2_05_4 "Q23_2_5_4. Issues experienced - Problems or disputes concerning Local Property Tax or Council/local services"</v>
      </c>
    </row>
    <row r="30" spans="1:8" x14ac:dyDescent="0.2">
      <c r="A30" s="5" t="s">
        <v>97</v>
      </c>
      <c r="B30" s="9">
        <v>29</v>
      </c>
      <c r="C30" s="10" t="s">
        <v>98</v>
      </c>
      <c r="D30" s="19" t="s">
        <v>56</v>
      </c>
      <c r="E30" s="19" t="s">
        <v>99</v>
      </c>
      <c r="H30" s="19" t="str">
        <f t="shared" si="0"/>
        <v>label var q23_2_05_5 "Q23_2_5_5. Issues experienced - Squatters"</v>
      </c>
    </row>
    <row r="31" spans="1:8" ht="30" x14ac:dyDescent="0.2">
      <c r="A31" s="5" t="s">
        <v>100</v>
      </c>
      <c r="B31" s="9">
        <v>30</v>
      </c>
      <c r="C31" s="10" t="s">
        <v>101</v>
      </c>
      <c r="D31" s="19" t="s">
        <v>56</v>
      </c>
      <c r="E31" s="19" t="s">
        <v>102</v>
      </c>
      <c r="H31" s="19" t="str">
        <f t="shared" si="0"/>
        <v>label var q23_2_05_6 "Q23_2_5_6. Issues experienced - Dispute with utilities/essential services (e.g. waste disposal water electricity internet or other utility provider)"</v>
      </c>
    </row>
    <row r="32" spans="1:8" ht="30" x14ac:dyDescent="0.2">
      <c r="A32" s="5" t="s">
        <v>103</v>
      </c>
      <c r="B32" s="9">
        <v>31</v>
      </c>
      <c r="C32" s="10" t="s">
        <v>104</v>
      </c>
      <c r="D32" s="19" t="s">
        <v>56</v>
      </c>
      <c r="E32" s="19" t="s">
        <v>105</v>
      </c>
      <c r="H32" s="19" t="str">
        <f t="shared" si="0"/>
        <v>label var q23_2_05_7 "Q23_2_5_7. Issues experienced - Mortgage related issues including repossession threatened repossession or late payment"</v>
      </c>
    </row>
    <row r="33" spans="1:8" x14ac:dyDescent="0.2">
      <c r="A33" s="5" t="s">
        <v>106</v>
      </c>
      <c r="B33" s="9">
        <v>32</v>
      </c>
      <c r="C33" s="10" t="s">
        <v>107</v>
      </c>
      <c r="D33" s="19" t="s">
        <v>56</v>
      </c>
      <c r="E33" s="19" t="s">
        <v>108</v>
      </c>
      <c r="H33" s="19" t="str">
        <f t="shared" si="0"/>
        <v>label var q23_2_06_1 "Q23_2_6_1. Issues experienced - Separation and/or divorce"</v>
      </c>
    </row>
    <row r="34" spans="1:8" x14ac:dyDescent="0.2">
      <c r="A34" s="5" t="s">
        <v>109</v>
      </c>
      <c r="B34" s="9">
        <v>33</v>
      </c>
      <c r="C34" s="10" t="s">
        <v>110</v>
      </c>
      <c r="D34" s="19" t="s">
        <v>56</v>
      </c>
      <c r="E34" s="19" t="s">
        <v>111</v>
      </c>
      <c r="H34" s="19" t="str">
        <f t="shared" ref="H34:H66" si="2">_xlfn.CONCAT("label var ",A34," ",$H$1,C34,$H$1)</f>
        <v>label var q23_2_06_2 "Q23_2_6_2. Issues experienced - Violent or controlling behaviour by a current or former partner"</v>
      </c>
    </row>
    <row r="35" spans="1:8" x14ac:dyDescent="0.2">
      <c r="A35" s="5" t="s">
        <v>112</v>
      </c>
      <c r="B35" s="9">
        <v>34</v>
      </c>
      <c r="C35" s="10" t="s">
        <v>113</v>
      </c>
      <c r="D35" s="19" t="s">
        <v>56</v>
      </c>
      <c r="E35" s="19" t="s">
        <v>114</v>
      </c>
      <c r="H35" s="19" t="str">
        <f t="shared" si="2"/>
        <v>label var q23_2_06_3 "Q23_2_6_3. Issues experienced - Violent or controlling behaviour by another family member"</v>
      </c>
    </row>
    <row r="36" spans="1:8" x14ac:dyDescent="0.2">
      <c r="A36" s="5" t="s">
        <v>115</v>
      </c>
      <c r="B36" s="9">
        <v>35</v>
      </c>
      <c r="C36" s="10" t="s">
        <v>116</v>
      </c>
      <c r="D36" s="19" t="s">
        <v>56</v>
      </c>
      <c r="E36" s="19" t="s">
        <v>117</v>
      </c>
      <c r="H36" s="19" t="str">
        <f t="shared" si="2"/>
        <v>label var q23_2_06_4 "Q23_2_6_4. Issues experienced - Issues related to child access custody or child/spousal maintenance"</v>
      </c>
    </row>
    <row r="37" spans="1:8" x14ac:dyDescent="0.2">
      <c r="A37" s="5" t="s">
        <v>118</v>
      </c>
      <c r="B37" s="9">
        <v>36</v>
      </c>
      <c r="C37" s="10" t="s">
        <v>119</v>
      </c>
      <c r="D37" s="19" t="s">
        <v>56</v>
      </c>
      <c r="E37" s="19" t="s">
        <v>120</v>
      </c>
      <c r="H37" s="19" t="str">
        <f t="shared" si="2"/>
        <v>label var q23_2_06_5 "Q23_2_6_5. Issues experienced - Problems or disputes related to elderly or other dependent adult care"</v>
      </c>
    </row>
    <row r="38" spans="1:8" x14ac:dyDescent="0.2">
      <c r="A38" s="5" t="s">
        <v>121</v>
      </c>
      <c r="B38" s="9">
        <v>37</v>
      </c>
      <c r="C38" s="10" t="s">
        <v>122</v>
      </c>
      <c r="D38" s="19" t="s">
        <v>56</v>
      </c>
      <c r="E38" s="19" t="s">
        <v>123</v>
      </c>
      <c r="H38" s="19" t="str">
        <f t="shared" si="2"/>
        <v>label var q23_2_06_6 "Q23_2_6_6. Issues experienced - Disputes related to inheritance or a will"</v>
      </c>
    </row>
    <row r="39" spans="1:8" x14ac:dyDescent="0.2">
      <c r="A39" s="5" t="s">
        <v>124</v>
      </c>
      <c r="B39" s="9">
        <v>38</v>
      </c>
      <c r="C39" s="10" t="s">
        <v>125</v>
      </c>
      <c r="D39" s="19" t="s">
        <v>56</v>
      </c>
      <c r="E39" s="19" t="s">
        <v>126</v>
      </c>
      <c r="H39" s="19" t="str">
        <f t="shared" si="2"/>
        <v>label var q23_2_07_1 "Q23_2_7_1. Issues experienced - Issues obtaining or with an Irish visa or residence card renewal"</v>
      </c>
    </row>
    <row r="40" spans="1:8" x14ac:dyDescent="0.2">
      <c r="A40" s="5" t="s">
        <v>127</v>
      </c>
      <c r="B40" s="9">
        <v>39</v>
      </c>
      <c r="C40" s="10" t="s">
        <v>128</v>
      </c>
      <c r="D40" s="19" t="s">
        <v>56</v>
      </c>
      <c r="E40" s="19" t="s">
        <v>129</v>
      </c>
      <c r="H40" s="19" t="str">
        <f t="shared" si="2"/>
        <v>label var q23_2_07_2 "Q23_2_7_2. Issues experienced - Issues seeking international protection subsidiary protection or permission to remain"</v>
      </c>
    </row>
    <row r="41" spans="1:8" x14ac:dyDescent="0.2">
      <c r="A41" s="5" t="s">
        <v>130</v>
      </c>
      <c r="B41" s="9">
        <v>40</v>
      </c>
      <c r="C41" s="10" t="s">
        <v>131</v>
      </c>
      <c r="D41" s="19" t="s">
        <v>56</v>
      </c>
      <c r="E41" s="19" t="s">
        <v>132</v>
      </c>
      <c r="H41" s="19" t="str">
        <f t="shared" si="2"/>
        <v>label var q23_2_07_3 "Q23_2_7_3. Issues experienced - Issues with an overseas visa / EU residence / emigration"</v>
      </c>
    </row>
    <row r="42" spans="1:8" x14ac:dyDescent="0.2">
      <c r="A42" s="5" t="s">
        <v>133</v>
      </c>
      <c r="B42" s="9">
        <v>41</v>
      </c>
      <c r="C42" s="10" t="s">
        <v>134</v>
      </c>
      <c r="D42" s="19" t="s">
        <v>56</v>
      </c>
      <c r="E42" s="19" t="s">
        <v>135</v>
      </c>
      <c r="H42" s="19" t="str">
        <f t="shared" si="2"/>
        <v>label var q23_2_07_4 "Q23_2_7_4. Issues experienced - Issues applying for Irish naturalisation/citizenship"</v>
      </c>
    </row>
    <row r="43" spans="1:8" x14ac:dyDescent="0.2">
      <c r="A43" s="5" t="s">
        <v>136</v>
      </c>
      <c r="B43" s="9">
        <v>42</v>
      </c>
      <c r="C43" s="10" t="s">
        <v>137</v>
      </c>
      <c r="D43" s="19" t="s">
        <v>56</v>
      </c>
      <c r="E43" s="19" t="s">
        <v>138</v>
      </c>
      <c r="H43" s="19" t="str">
        <f t="shared" si="2"/>
        <v>label var q23_2_07_5 "Q23_2_7_5. Issues experienced - Other citizenship or migration related issue"</v>
      </c>
    </row>
    <row r="44" spans="1:8" ht="30" x14ac:dyDescent="0.2">
      <c r="A44" s="5" t="s">
        <v>139</v>
      </c>
      <c r="B44" s="9">
        <v>43</v>
      </c>
      <c r="C44" s="10" t="s">
        <v>140</v>
      </c>
      <c r="D44" s="19" t="s">
        <v>56</v>
      </c>
      <c r="E44" s="19" t="s">
        <v>141</v>
      </c>
      <c r="H44" s="19" t="str">
        <f t="shared" si="2"/>
        <v>label var q23_2_08_1 "Q23_2_8_1. Issues experienced - A road traffic accident in which you were injured caused or made worse by someone else"</v>
      </c>
    </row>
    <row r="45" spans="1:8" ht="30" x14ac:dyDescent="0.2">
      <c r="A45" s="5" t="s">
        <v>142</v>
      </c>
      <c r="B45" s="9">
        <v>44</v>
      </c>
      <c r="C45" s="10" t="s">
        <v>143</v>
      </c>
      <c r="D45" s="19" t="s">
        <v>56</v>
      </c>
      <c r="E45" s="19" t="s">
        <v>144</v>
      </c>
      <c r="H45" s="19" t="str">
        <f t="shared" si="2"/>
        <v>label var q23_2_08_2 "Q23_2_8_2. Issues experienced - A road traffic accident in which someone else was injured that you caused or made worse"</v>
      </c>
    </row>
    <row r="46" spans="1:8" x14ac:dyDescent="0.2">
      <c r="A46" s="5" t="s">
        <v>145</v>
      </c>
      <c r="B46" s="9">
        <v>45</v>
      </c>
      <c r="C46" s="10" t="s">
        <v>146</v>
      </c>
      <c r="D46" s="19" t="s">
        <v>56</v>
      </c>
      <c r="E46" s="19" t="s">
        <v>147</v>
      </c>
      <c r="H46" s="19" t="str">
        <f t="shared" si="2"/>
        <v>label var q23_2_08_3 "Q23_2_8_3. Issues experienced - Work-related accident"</v>
      </c>
    </row>
    <row r="47" spans="1:8" x14ac:dyDescent="0.2">
      <c r="A47" s="5" t="s">
        <v>148</v>
      </c>
      <c r="B47" s="9">
        <v>46</v>
      </c>
      <c r="C47" s="10" t="s">
        <v>149</v>
      </c>
      <c r="D47" s="19" t="s">
        <v>56</v>
      </c>
      <c r="E47" s="19" t="s">
        <v>150</v>
      </c>
      <c r="H47" s="19" t="str">
        <f t="shared" si="2"/>
        <v>label var q23_2_08_4 "Q23_2_8_4. Issues experienced - Wrong or negligent medical treatment"</v>
      </c>
    </row>
    <row r="48" spans="1:8" x14ac:dyDescent="0.2">
      <c r="A48" s="5" t="s">
        <v>151</v>
      </c>
      <c r="B48" s="9">
        <v>47</v>
      </c>
      <c r="C48" s="10" t="s">
        <v>152</v>
      </c>
      <c r="D48" s="19" t="s">
        <v>56</v>
      </c>
      <c r="E48" s="19" t="s">
        <v>153</v>
      </c>
      <c r="H48" s="19" t="str">
        <f t="shared" si="2"/>
        <v>label var q23_2_08_5 "Q23_2_8_5. Issues experienced - Other injury or illness caused or worsened by someone else"</v>
      </c>
    </row>
    <row r="49" spans="1:8" x14ac:dyDescent="0.2">
      <c r="A49" s="5" t="s">
        <v>154</v>
      </c>
      <c r="B49" s="9">
        <v>48</v>
      </c>
      <c r="C49" s="10" t="s">
        <v>155</v>
      </c>
      <c r="D49" s="19" t="s">
        <v>56</v>
      </c>
      <c r="E49" s="19" t="s">
        <v>156</v>
      </c>
      <c r="H49" s="19" t="str">
        <f t="shared" si="2"/>
        <v>label var q23_2_09_1 "Q23_2_9_1. Issues experienced - Issues with jobseekers benefit or jobseekers allowance"</v>
      </c>
    </row>
    <row r="50" spans="1:8" x14ac:dyDescent="0.2">
      <c r="A50" s="5" t="s">
        <v>157</v>
      </c>
      <c r="B50" s="9">
        <v>49</v>
      </c>
      <c r="C50" s="10" t="s">
        <v>158</v>
      </c>
      <c r="D50" s="19" t="s">
        <v>56</v>
      </c>
      <c r="E50" s="19" t="s">
        <v>159</v>
      </c>
      <c r="H50" s="19" t="str">
        <f t="shared" si="2"/>
        <v>label var q23_2_09_2 "Q23_2_9_2. Issues experienced - Issues related to maternity/parental government benefit"</v>
      </c>
    </row>
    <row r="51" spans="1:8" x14ac:dyDescent="0.2">
      <c r="A51" s="5" t="s">
        <v>160</v>
      </c>
      <c r="B51" s="9">
        <v>50</v>
      </c>
      <c r="C51" s="10" t="s">
        <v>161</v>
      </c>
      <c r="D51" s="19" t="s">
        <v>56</v>
      </c>
      <c r="E51" s="19" t="s">
        <v>162</v>
      </c>
      <c r="H51" s="19" t="str">
        <f t="shared" si="2"/>
        <v>label var q23_2_09_3 "Q23_2_9_3. Issues experienced - Issues related to the State pension"</v>
      </c>
    </row>
    <row r="52" spans="1:8" x14ac:dyDescent="0.2">
      <c r="A52" s="5" t="s">
        <v>163</v>
      </c>
      <c r="B52" s="9">
        <v>51</v>
      </c>
      <c r="C52" s="10" t="s">
        <v>164</v>
      </c>
      <c r="D52" s="19" t="s">
        <v>56</v>
      </c>
      <c r="E52" s="19" t="s">
        <v>165</v>
      </c>
      <c r="H52" s="19" t="str">
        <f t="shared" si="2"/>
        <v>label var q23_2_09_4 "Q23_2_9_4. Issues experienced - Issues with education-related grants (e.g. student grant scheme)"</v>
      </c>
    </row>
    <row r="53" spans="1:8" x14ac:dyDescent="0.2">
      <c r="A53" s="5" t="s">
        <v>166</v>
      </c>
      <c r="B53" s="9">
        <v>52</v>
      </c>
      <c r="C53" s="10" t="s">
        <v>167</v>
      </c>
      <c r="D53" s="19" t="s">
        <v>56</v>
      </c>
      <c r="E53" s="19" t="s">
        <v>168</v>
      </c>
      <c r="H53" s="19" t="str">
        <f t="shared" si="2"/>
        <v>label var q23_2_09_5 "Q23_2_9_5. Issues experienced - Issues with Disability Allowance"</v>
      </c>
    </row>
    <row r="54" spans="1:8" x14ac:dyDescent="0.2">
      <c r="A54" s="5" t="s">
        <v>169</v>
      </c>
      <c r="B54" s="9">
        <v>53</v>
      </c>
      <c r="C54" s="10" t="s">
        <v>170</v>
      </c>
      <c r="D54" s="19" t="s">
        <v>56</v>
      </c>
      <c r="E54" s="19" t="s">
        <v>171</v>
      </c>
      <c r="H54" s="19" t="str">
        <f t="shared" si="2"/>
        <v>label var q23_2_09_6 "Q23_2_9_6. Issues experienced - Other government benefit/payment issues"</v>
      </c>
    </row>
    <row r="55" spans="1:8" x14ac:dyDescent="0.2">
      <c r="A55" s="5" t="s">
        <v>172</v>
      </c>
      <c r="B55" s="9">
        <v>54</v>
      </c>
      <c r="C55" s="10" t="s">
        <v>173</v>
      </c>
      <c r="D55" s="19" t="s">
        <v>56</v>
      </c>
      <c r="E55" s="19" t="s">
        <v>174</v>
      </c>
      <c r="H55" s="19" t="str">
        <f t="shared" si="2"/>
        <v>label var q23_2_10_1 "Q23_2_10_1. Issues experienced - Issues obtaining an Irish Passport other ID licences or other official documents"</v>
      </c>
    </row>
    <row r="56" spans="1:8" x14ac:dyDescent="0.2">
      <c r="A56" s="5" t="s">
        <v>175</v>
      </c>
      <c r="B56" s="9">
        <v>55</v>
      </c>
      <c r="C56" s="10" t="s">
        <v>176</v>
      </c>
      <c r="D56" s="19" t="s">
        <v>56</v>
      </c>
      <c r="E56" s="19" t="s">
        <v>177</v>
      </c>
      <c r="H56" s="19" t="str">
        <f t="shared" si="2"/>
        <v>label var q23_2_10_2 "Q23_2_10_2. Issues experienced - Issues with obtaining healthcare or disability services"</v>
      </c>
    </row>
    <row r="57" spans="1:8" ht="30" x14ac:dyDescent="0.2">
      <c r="A57" s="5" t="s">
        <v>178</v>
      </c>
      <c r="B57" s="9">
        <v>56</v>
      </c>
      <c r="C57" s="10" t="s">
        <v>179</v>
      </c>
      <c r="D57" s="19" t="s">
        <v>56</v>
      </c>
      <c r="E57" s="19" t="s">
        <v>180</v>
      </c>
      <c r="H57" s="19" t="str">
        <f t="shared" si="2"/>
        <v>label var q23_2_10_3 "Q23_2_10_3. Issues experienced - Issues with obtaining government/social housing (excluding issues experienced as a tenant)"</v>
      </c>
    </row>
    <row r="58" spans="1:8" x14ac:dyDescent="0.2">
      <c r="A58" s="5" t="s">
        <v>181</v>
      </c>
      <c r="B58" s="9">
        <v>57</v>
      </c>
      <c r="C58" s="10" t="s">
        <v>182</v>
      </c>
      <c r="D58" s="19" t="s">
        <v>56</v>
      </c>
      <c r="E58" s="19" t="s">
        <v>183</v>
      </c>
      <c r="H58" s="19" t="str">
        <f t="shared" si="2"/>
        <v>label var q23_2_10_4 "Q23_2_10_4. Issues experienced - Issues with obtaining education"</v>
      </c>
    </row>
    <row r="59" spans="1:8" x14ac:dyDescent="0.2">
      <c r="A59" s="5" t="s">
        <v>184</v>
      </c>
      <c r="B59" s="9">
        <v>58</v>
      </c>
      <c r="C59" s="10" t="s">
        <v>185</v>
      </c>
      <c r="D59" s="19" t="s">
        <v>56</v>
      </c>
      <c r="E59" s="19" t="s">
        <v>186</v>
      </c>
      <c r="H59" s="19" t="str">
        <f t="shared" si="2"/>
        <v>label var q23_2_11_1 "Q23_2_11_1. Issues experienced - Product/purchases not delivered or significantly delayed"</v>
      </c>
    </row>
    <row r="60" spans="1:8" ht="30" x14ac:dyDescent="0.2">
      <c r="A60" s="5" t="s">
        <v>187</v>
      </c>
      <c r="B60" s="9">
        <v>59</v>
      </c>
      <c r="C60" s="10" t="s">
        <v>188</v>
      </c>
      <c r="D60" s="19" t="s">
        <v>56</v>
      </c>
      <c r="E60" s="19" t="s">
        <v>189</v>
      </c>
      <c r="H60" s="19" t="str">
        <f t="shared" si="2"/>
        <v>label var q23_2_11_2 "Q23_2_11_2. Issues experienced - Difficulty getting refunds repairs or replacements for products that were faulty damaged or not as described"</v>
      </c>
    </row>
    <row r="61" spans="1:8" x14ac:dyDescent="0.2">
      <c r="A61" s="5" t="s">
        <v>190</v>
      </c>
      <c r="B61" s="9">
        <v>60</v>
      </c>
      <c r="C61" s="10" t="s">
        <v>191</v>
      </c>
      <c r="D61" s="19" t="s">
        <v>56</v>
      </c>
      <c r="E61" s="19" t="s">
        <v>192</v>
      </c>
      <c r="H61" s="19" t="str">
        <f t="shared" si="2"/>
        <v>label var q23_2_12_1 "Q23_2_12_1. Issues experienced - Issues with over-charging or hidden or unexpected fees"</v>
      </c>
    </row>
    <row r="62" spans="1:8" x14ac:dyDescent="0.2">
      <c r="A62" s="5" t="s">
        <v>193</v>
      </c>
      <c r="B62" s="9">
        <v>61</v>
      </c>
      <c r="C62" s="10" t="s">
        <v>194</v>
      </c>
      <c r="D62" s="19" t="s">
        <v>56</v>
      </c>
      <c r="E62" s="19" t="s">
        <v>195</v>
      </c>
      <c r="H62" s="19" t="str">
        <f t="shared" si="2"/>
        <v>label var q23_2_12_2 "Q23_2_12_2. Issues experienced - Issues with quality of services or other service-related disputes"</v>
      </c>
    </row>
    <row r="63" spans="1:8" ht="30" x14ac:dyDescent="0.2">
      <c r="A63" s="5" t="s">
        <v>196</v>
      </c>
      <c r="B63" s="9">
        <v>62</v>
      </c>
      <c r="C63" s="10" t="s">
        <v>197</v>
      </c>
      <c r="D63" s="19" t="s">
        <v>56</v>
      </c>
      <c r="E63" s="19" t="s">
        <v>198</v>
      </c>
      <c r="H63" s="19" t="str">
        <f t="shared" si="2"/>
        <v>label var q23_2_13_1 "Q23_2_13_1. Issues experienced - Unable to pay bills/loans/debts including buy-now-pay-later (excluding mortgage and rental payments)"</v>
      </c>
    </row>
    <row r="64" spans="1:8" x14ac:dyDescent="0.2">
      <c r="A64" s="5" t="s">
        <v>199</v>
      </c>
      <c r="B64" s="9">
        <v>63</v>
      </c>
      <c r="C64" s="10" t="s">
        <v>200</v>
      </c>
      <c r="D64" s="19" t="s">
        <v>56</v>
      </c>
      <c r="E64" s="19" t="s">
        <v>201</v>
      </c>
      <c r="H64" s="19" t="str">
        <f t="shared" si="2"/>
        <v>label var q23_2_13_2 "Q23_2_13_2. Issues experienced - Disputes about insurance coverage/claim"</v>
      </c>
    </row>
    <row r="65" spans="1:8" ht="30" x14ac:dyDescent="0.2">
      <c r="A65" s="5" t="s">
        <v>202</v>
      </c>
      <c r="B65" s="9">
        <v>64</v>
      </c>
      <c r="C65" s="10" t="s">
        <v>203</v>
      </c>
      <c r="D65" s="19" t="s">
        <v>56</v>
      </c>
      <c r="E65" s="19" t="s">
        <v>204</v>
      </c>
      <c r="H65" s="19" t="str">
        <f t="shared" si="2"/>
        <v>label var q23_2_13_3 "Q23_2_13_3. Issues experienced - Disputes with the bank or other financial institutions including refusal of credit/loan/mortgage"</v>
      </c>
    </row>
    <row r="66" spans="1:8" x14ac:dyDescent="0.2">
      <c r="A66" s="5" t="s">
        <v>205</v>
      </c>
      <c r="B66" s="9">
        <v>65</v>
      </c>
      <c r="C66" s="10" t="s">
        <v>206</v>
      </c>
      <c r="D66" s="19" t="s">
        <v>56</v>
      </c>
      <c r="E66" s="19" t="s">
        <v>207</v>
      </c>
      <c r="H66" s="19" t="str">
        <f t="shared" si="2"/>
        <v>label var q23_2_13_4 "Q23_2_13_4. Issues experienced - Disputes about tax assessments/payments/refunds"</v>
      </c>
    </row>
    <row r="67" spans="1:8" x14ac:dyDescent="0.2">
      <c r="A67" s="5" t="s">
        <v>208</v>
      </c>
      <c r="B67" s="9">
        <v>66</v>
      </c>
      <c r="C67" s="10" t="s">
        <v>209</v>
      </c>
      <c r="D67" s="19" t="s">
        <v>56</v>
      </c>
      <c r="E67" s="19" t="s">
        <v>210</v>
      </c>
      <c r="H67" s="19" t="str">
        <f t="shared" ref="H67:H130" si="3">_xlfn.CONCAT("label var ",A67," ",$H$1,C67,$H$1)</f>
        <v>label var q23_2_13_5 "Q23_2_13_5. Issues experienced - Difficulties getting someone to pay money they owe you (other than as a landlord)"</v>
      </c>
    </row>
    <row r="68" spans="1:8" x14ac:dyDescent="0.2">
      <c r="A68" s="5" t="s">
        <v>211</v>
      </c>
      <c r="B68" s="9">
        <v>67</v>
      </c>
      <c r="C68" s="10" t="s">
        <v>212</v>
      </c>
      <c r="D68" s="19" t="s">
        <v>56</v>
      </c>
      <c r="E68" s="19" t="s">
        <v>213</v>
      </c>
      <c r="H68" s="19" t="str">
        <f t="shared" si="3"/>
        <v>label var q23_2_14_1 "Q23_2_14_1. Issues experienced - Loss of a job or issues with pay/wages or other benefits"</v>
      </c>
    </row>
    <row r="69" spans="1:8" x14ac:dyDescent="0.2">
      <c r="A69" s="5" t="s">
        <v>214</v>
      </c>
      <c r="B69" s="9">
        <v>68</v>
      </c>
      <c r="C69" s="10" t="s">
        <v>215</v>
      </c>
      <c r="D69" s="19" t="s">
        <v>56</v>
      </c>
      <c r="E69" s="19" t="s">
        <v>216</v>
      </c>
      <c r="H69" s="19" t="str">
        <f t="shared" si="3"/>
        <v>label var q23_2_14_2 "Q23_2_14_2. Issues experienced - Exposure to health and safety risks"</v>
      </c>
    </row>
    <row r="70" spans="1:8" x14ac:dyDescent="0.2">
      <c r="A70" s="5" t="s">
        <v>217</v>
      </c>
      <c r="B70" s="9">
        <v>69</v>
      </c>
      <c r="C70" s="10" t="s">
        <v>218</v>
      </c>
      <c r="D70" s="19" t="s">
        <v>56</v>
      </c>
      <c r="E70" s="19" t="s">
        <v>219</v>
      </c>
      <c r="H70" s="19" t="str">
        <f t="shared" si="3"/>
        <v>label var q23_2_14_3 "Q23_2_14_3. Issues experienced - Conflicts with employer or other employees including discrimination and harassment"</v>
      </c>
    </row>
    <row r="71" spans="1:8" x14ac:dyDescent="0.2">
      <c r="A71" s="5" t="s">
        <v>220</v>
      </c>
      <c r="B71" s="9">
        <v>70</v>
      </c>
      <c r="C71" s="10" t="s">
        <v>221</v>
      </c>
      <c r="D71" s="19" t="s">
        <v>56</v>
      </c>
      <c r="E71" s="19" t="s">
        <v>222</v>
      </c>
      <c r="H71" s="19" t="str">
        <f t="shared" si="3"/>
        <v>label var q23_2_14_4 "Q23_2_14_4. Issues experienced - Other employment-related disputes"</v>
      </c>
    </row>
    <row r="72" spans="1:8" ht="30" x14ac:dyDescent="0.2">
      <c r="A72" s="5" t="s">
        <v>223</v>
      </c>
      <c r="B72" s="9">
        <v>71</v>
      </c>
      <c r="C72" s="10" t="s">
        <v>224</v>
      </c>
      <c r="E72" s="19" t="s">
        <v>225</v>
      </c>
      <c r="H72" s="19" t="str">
        <f t="shared" si="3"/>
        <v>label var q23_3_01_1 "Q23_3_1_1. Frequency experienced - Including issues with buying or selling property and disputes over title or ownership boundary locations and rights of way and Land Registry matters"</v>
      </c>
    </row>
    <row r="73" spans="1:8" x14ac:dyDescent="0.2">
      <c r="A73" s="5" t="s">
        <v>226</v>
      </c>
      <c r="B73" s="9">
        <v>72</v>
      </c>
      <c r="C73" s="10" t="s">
        <v>227</v>
      </c>
      <c r="E73" s="19" t="s">
        <v>228</v>
      </c>
      <c r="H73" s="19" t="str">
        <f t="shared" si="3"/>
        <v>label var q23_3_02_1 "Q23_3_2_1. Frequency experienced - Disputes about maintenance including of boundaries trees gardens"</v>
      </c>
    </row>
    <row r="74" spans="1:8" x14ac:dyDescent="0.2">
      <c r="A74" s="5" t="s">
        <v>229</v>
      </c>
      <c r="B74" s="9">
        <v>73</v>
      </c>
      <c r="C74" s="10" t="s">
        <v>230</v>
      </c>
      <c r="E74" s="19" t="s">
        <v>231</v>
      </c>
      <c r="H74" s="19" t="str">
        <f t="shared" si="3"/>
        <v>label var q23_3_02_2 "Q23_3_2_2. Frequency experienced - Problems or disputes to do with noise animals or unpleasant behaviour"</v>
      </c>
    </row>
    <row r="75" spans="1:8" x14ac:dyDescent="0.2">
      <c r="A75" s="5" t="s">
        <v>232</v>
      </c>
      <c r="B75" s="9">
        <v>74</v>
      </c>
      <c r="C75" s="10" t="s">
        <v>233</v>
      </c>
      <c r="E75" s="19" t="s">
        <v>234</v>
      </c>
      <c r="H75" s="19" t="str">
        <f t="shared" si="3"/>
        <v>label var q23_3_02_3 "Q23_3_2_3. Frequency experienced - Other disputes with neighbours such as issues with parking"</v>
      </c>
    </row>
    <row r="76" spans="1:8" x14ac:dyDescent="0.2">
      <c r="A76" s="5" t="s">
        <v>235</v>
      </c>
      <c r="B76" s="9">
        <v>75</v>
      </c>
      <c r="C76" s="10" t="s">
        <v>236</v>
      </c>
      <c r="E76" s="19" t="s">
        <v>237</v>
      </c>
      <c r="H76" s="19" t="str">
        <f t="shared" si="3"/>
        <v>label var q23_3_03_1 "Q23_3_3_1. Frequency experienced - Problems or disputes with your landlord over your rent or return of deposit"</v>
      </c>
    </row>
    <row r="77" spans="1:8" ht="30" x14ac:dyDescent="0.2">
      <c r="A77" s="5" t="s">
        <v>238</v>
      </c>
      <c r="B77" s="9">
        <v>76</v>
      </c>
      <c r="C77" s="10" t="s">
        <v>239</v>
      </c>
      <c r="E77" s="19" t="s">
        <v>240</v>
      </c>
      <c r="H77" s="19" t="str">
        <f t="shared" si="3"/>
        <v>label var q23_3_03_2 "Q23_3_3_2. Frequency experienced - Problem with your landlord about the condition of your accommodation including damage/repairs"</v>
      </c>
    </row>
    <row r="78" spans="1:8" x14ac:dyDescent="0.2">
      <c r="A78" s="5" t="s">
        <v>241</v>
      </c>
      <c r="B78" s="9">
        <v>77</v>
      </c>
      <c r="C78" s="10" t="s">
        <v>242</v>
      </c>
      <c r="E78" s="19" t="s">
        <v>243</v>
      </c>
      <c r="H78" s="19" t="str">
        <f t="shared" si="3"/>
        <v>label var q23_3_03_3 "Q23_3_3_3. Frequency experienced - Eviction or threats of eviction or other harassment by a landlord"</v>
      </c>
    </row>
    <row r="79" spans="1:8" x14ac:dyDescent="0.2">
      <c r="A79" s="5" t="s">
        <v>244</v>
      </c>
      <c r="B79" s="9">
        <v>78</v>
      </c>
      <c r="C79" s="10" t="s">
        <v>245</v>
      </c>
      <c r="E79" s="19" t="s">
        <v>246</v>
      </c>
      <c r="H79" s="19" t="str">
        <f t="shared" si="3"/>
        <v>label var q23_3_04_1 "Q23_3_4_1. Frequency experienced - Issues with a tenant such as delayed/no payment of rent or dispute over a deposit"</v>
      </c>
    </row>
    <row r="80" spans="1:8" x14ac:dyDescent="0.2">
      <c r="A80" s="5" t="s">
        <v>247</v>
      </c>
      <c r="B80" s="9">
        <v>79</v>
      </c>
      <c r="C80" s="10" t="s">
        <v>248</v>
      </c>
      <c r="E80" s="19" t="s">
        <v>249</v>
      </c>
      <c r="H80" s="19" t="str">
        <f t="shared" si="3"/>
        <v>label var q23_3_04_2 "Q23_3_4_2. Frequency experienced - Property-related issues such as damage by tenants or access to property"</v>
      </c>
    </row>
    <row r="81" spans="1:8" x14ac:dyDescent="0.2">
      <c r="A81" s="5" t="s">
        <v>250</v>
      </c>
      <c r="B81" s="9">
        <v>80</v>
      </c>
      <c r="C81" s="10" t="s">
        <v>251</v>
      </c>
      <c r="E81" s="19" t="s">
        <v>252</v>
      </c>
      <c r="H81" s="19" t="str">
        <f t="shared" si="3"/>
        <v>label var q23_3_04_3 "Q23_3_4_3. Frequency experienced - Issues with tenants such as evictions or complaints"</v>
      </c>
    </row>
    <row r="82" spans="1:8" x14ac:dyDescent="0.2">
      <c r="A82" s="5" t="s">
        <v>253</v>
      </c>
      <c r="B82" s="9">
        <v>81</v>
      </c>
      <c r="C82" s="10" t="s">
        <v>254</v>
      </c>
      <c r="E82" s="19" t="s">
        <v>255</v>
      </c>
      <c r="H82" s="19" t="str">
        <f t="shared" si="3"/>
        <v>label var q23_3_05_1 "Q23_3_5_1. Frequency experienced - Building/planning related disputes"</v>
      </c>
    </row>
    <row r="83" spans="1:8" ht="30" x14ac:dyDescent="0.2">
      <c r="A83" s="5" t="s">
        <v>256</v>
      </c>
      <c r="B83" s="9">
        <v>82</v>
      </c>
      <c r="C83" s="10" t="s">
        <v>257</v>
      </c>
      <c r="E83" s="19" t="s">
        <v>258</v>
      </c>
      <c r="H83" s="19" t="str">
        <f t="shared" si="3"/>
        <v>label var q23_3_05_2 "Q23_3_5_2. Frequency experienced - Issues with builders/tradespeople about the quality of construction or repairs or disputes about costs"</v>
      </c>
    </row>
    <row r="84" spans="1:8" x14ac:dyDescent="0.2">
      <c r="A84" s="5" t="s">
        <v>259</v>
      </c>
      <c r="B84" s="9">
        <v>83</v>
      </c>
      <c r="C84" s="10" t="s">
        <v>260</v>
      </c>
      <c r="E84" s="19" t="s">
        <v>261</v>
      </c>
      <c r="H84" s="19" t="str">
        <f t="shared" si="3"/>
        <v>label var q23_3_05_3 "Q23_3_5_3. Frequency experienced - Disputes about communal repairs/maintenance/costs"</v>
      </c>
    </row>
    <row r="85" spans="1:8" x14ac:dyDescent="0.2">
      <c r="A85" s="5" t="s">
        <v>262</v>
      </c>
      <c r="B85" s="9">
        <v>84</v>
      </c>
      <c r="C85" s="10" t="s">
        <v>263</v>
      </c>
      <c r="E85" s="19" t="s">
        <v>264</v>
      </c>
      <c r="H85" s="19" t="str">
        <f t="shared" si="3"/>
        <v>label var q23_3_05_4 "Q23_3_5_4. Frequency experienced - Problems or disputes concerning Local Property Tax or Council/local services"</v>
      </c>
    </row>
    <row r="86" spans="1:8" x14ac:dyDescent="0.2">
      <c r="A86" s="5" t="s">
        <v>265</v>
      </c>
      <c r="B86" s="9">
        <v>85</v>
      </c>
      <c r="C86" s="10" t="s">
        <v>266</v>
      </c>
      <c r="E86" s="19" t="s">
        <v>267</v>
      </c>
      <c r="H86" s="19" t="str">
        <f t="shared" si="3"/>
        <v>label var q23_3_05_5 "Q23_3_5_5. Frequency experienced - Squatters"</v>
      </c>
    </row>
    <row r="87" spans="1:8" ht="30" x14ac:dyDescent="0.2">
      <c r="A87" s="5" t="s">
        <v>268</v>
      </c>
      <c r="B87" s="9">
        <v>86</v>
      </c>
      <c r="C87" s="10" t="s">
        <v>269</v>
      </c>
      <c r="E87" s="19" t="s">
        <v>270</v>
      </c>
      <c r="H87" s="19" t="str">
        <f t="shared" si="3"/>
        <v>label var q23_3_05_6 "Q23_3_5_6. Frequency experienced - Dispute with utilities/essential services (e.g. waste disposal water electricity internet or other utility provider)"</v>
      </c>
    </row>
    <row r="88" spans="1:8" ht="30" x14ac:dyDescent="0.2">
      <c r="A88" s="5" t="s">
        <v>271</v>
      </c>
      <c r="B88" s="9">
        <v>87</v>
      </c>
      <c r="C88" s="10" t="s">
        <v>272</v>
      </c>
      <c r="E88" s="19" t="s">
        <v>273</v>
      </c>
      <c r="H88" s="19" t="str">
        <f t="shared" si="3"/>
        <v>label var q23_3_05_7 "Q23_3_5_7. Frequency experienced - Mortgage related issues including repossession threatened repossession or late payment"</v>
      </c>
    </row>
    <row r="89" spans="1:8" x14ac:dyDescent="0.2">
      <c r="A89" s="5" t="s">
        <v>274</v>
      </c>
      <c r="B89" s="9">
        <v>88</v>
      </c>
      <c r="C89" s="10" t="s">
        <v>275</v>
      </c>
      <c r="E89" s="19" t="s">
        <v>276</v>
      </c>
      <c r="H89" s="19" t="str">
        <f t="shared" si="3"/>
        <v>label var q23_3_06_1 "Q23_3_6_1. Frequency experienced - Separation and/or divorce"</v>
      </c>
    </row>
    <row r="90" spans="1:8" x14ac:dyDescent="0.2">
      <c r="A90" s="5" t="s">
        <v>277</v>
      </c>
      <c r="B90" s="9">
        <v>89</v>
      </c>
      <c r="C90" s="10" t="s">
        <v>278</v>
      </c>
      <c r="E90" s="19" t="s">
        <v>279</v>
      </c>
      <c r="H90" s="19" t="str">
        <f t="shared" si="3"/>
        <v>label var q23_3_06_2 "Q23_3_6_2. Frequency experienced - Violent or controlling behaviour by a current or former partner"</v>
      </c>
    </row>
    <row r="91" spans="1:8" x14ac:dyDescent="0.2">
      <c r="A91" s="5" t="s">
        <v>280</v>
      </c>
      <c r="B91" s="9">
        <v>90</v>
      </c>
      <c r="C91" s="10" t="s">
        <v>281</v>
      </c>
      <c r="E91" s="19" t="s">
        <v>282</v>
      </c>
      <c r="H91" s="19" t="str">
        <f t="shared" si="3"/>
        <v>label var q23_3_06_3 "Q23_3_6_3. Frequency experienced - Violent or controlling behaviour by another family member"</v>
      </c>
    </row>
    <row r="92" spans="1:8" x14ac:dyDescent="0.2">
      <c r="A92" s="5" t="s">
        <v>283</v>
      </c>
      <c r="B92" s="9">
        <v>91</v>
      </c>
      <c r="C92" s="10" t="s">
        <v>284</v>
      </c>
      <c r="E92" s="19" t="s">
        <v>285</v>
      </c>
      <c r="H92" s="19" t="str">
        <f t="shared" si="3"/>
        <v>label var q23_3_06_4 "Q23_3_6_4. Frequency experienced - Issues related to child access custody or child/spousal maintenance"</v>
      </c>
    </row>
    <row r="93" spans="1:8" x14ac:dyDescent="0.2">
      <c r="A93" s="5" t="s">
        <v>286</v>
      </c>
      <c r="B93" s="9">
        <v>92</v>
      </c>
      <c r="C93" s="10" t="s">
        <v>287</v>
      </c>
      <c r="E93" s="19" t="s">
        <v>288</v>
      </c>
      <c r="H93" s="19" t="str">
        <f t="shared" si="3"/>
        <v>label var q23_3_06_5 "Q23_3_6_5. Frequency experienced - Problems or disputes related to elderly or other dependent adult care"</v>
      </c>
    </row>
    <row r="94" spans="1:8" x14ac:dyDescent="0.2">
      <c r="A94" s="5" t="s">
        <v>289</v>
      </c>
      <c r="B94" s="9">
        <v>93</v>
      </c>
      <c r="C94" s="10" t="s">
        <v>290</v>
      </c>
      <c r="E94" s="19" t="s">
        <v>291</v>
      </c>
      <c r="H94" s="19" t="str">
        <f t="shared" si="3"/>
        <v>label var q23_3_06_6 "Q23_3_6_6. Frequency experienced - Disputes related to inheritance or a will"</v>
      </c>
    </row>
    <row r="95" spans="1:8" x14ac:dyDescent="0.2">
      <c r="A95" s="5" t="s">
        <v>292</v>
      </c>
      <c r="B95" s="9">
        <v>94</v>
      </c>
      <c r="C95" s="10" t="s">
        <v>293</v>
      </c>
      <c r="E95" s="19" t="s">
        <v>294</v>
      </c>
      <c r="H95" s="19" t="str">
        <f t="shared" si="3"/>
        <v>label var q23_3_07_1 "Q23_3_7_1. Frequency experienced - Issues obtaining or with an Irish visa or residence card renewal"</v>
      </c>
    </row>
    <row r="96" spans="1:8" ht="30" x14ac:dyDescent="0.2">
      <c r="A96" s="5" t="s">
        <v>295</v>
      </c>
      <c r="B96" s="9">
        <v>95</v>
      </c>
      <c r="C96" s="10" t="s">
        <v>296</v>
      </c>
      <c r="E96" s="19" t="s">
        <v>297</v>
      </c>
      <c r="H96" s="19" t="str">
        <f t="shared" si="3"/>
        <v>label var q23_3_07_2 "Q23_3_7_2. Frequency experienced - Issues seeking international protection subsidiary protection or permission to remain"</v>
      </c>
    </row>
    <row r="97" spans="1:8" x14ac:dyDescent="0.2">
      <c r="A97" s="5" t="s">
        <v>298</v>
      </c>
      <c r="B97" s="9">
        <v>96</v>
      </c>
      <c r="C97" s="10" t="s">
        <v>299</v>
      </c>
      <c r="E97" s="19" t="s">
        <v>300</v>
      </c>
      <c r="H97" s="19" t="str">
        <f t="shared" si="3"/>
        <v>label var q23_3_07_3 "Q23_3_7_3. Frequency experienced - Issues with an overseas visa / EU residence / emigration"</v>
      </c>
    </row>
    <row r="98" spans="1:8" x14ac:dyDescent="0.2">
      <c r="A98" s="5" t="s">
        <v>301</v>
      </c>
      <c r="B98" s="9">
        <v>97</v>
      </c>
      <c r="C98" s="10" t="s">
        <v>302</v>
      </c>
      <c r="E98" s="19" t="s">
        <v>303</v>
      </c>
      <c r="H98" s="19" t="str">
        <f t="shared" si="3"/>
        <v>label var q23_3_07_4 "Q23_3_7_4. Frequency experienced - Issues applying for Irish naturalisation/citizenship"</v>
      </c>
    </row>
    <row r="99" spans="1:8" x14ac:dyDescent="0.2">
      <c r="A99" s="5" t="s">
        <v>304</v>
      </c>
      <c r="B99" s="9">
        <v>98</v>
      </c>
      <c r="C99" s="10" t="s">
        <v>305</v>
      </c>
      <c r="E99" s="19" t="s">
        <v>306</v>
      </c>
      <c r="H99" s="19" t="str">
        <f t="shared" si="3"/>
        <v>label var q23_3_07_5 "Q23_3_7_5. Frequency experienced - Other citizenship or migration related issue"</v>
      </c>
    </row>
    <row r="100" spans="1:8" ht="30" x14ac:dyDescent="0.2">
      <c r="A100" s="5" t="s">
        <v>307</v>
      </c>
      <c r="B100" s="9">
        <v>99</v>
      </c>
      <c r="C100" s="10" t="s">
        <v>308</v>
      </c>
      <c r="E100" s="19" t="s">
        <v>309</v>
      </c>
      <c r="H100" s="19" t="str">
        <f t="shared" si="3"/>
        <v>label var q23_3_08_1 "Q23_3_8_1. Frequency experienced - A road traffic accident in which you were injured caused or made worse by someone else"</v>
      </c>
    </row>
    <row r="101" spans="1:8" ht="30" x14ac:dyDescent="0.2">
      <c r="A101" s="5" t="s">
        <v>310</v>
      </c>
      <c r="B101" s="9">
        <v>100</v>
      </c>
      <c r="C101" s="10" t="s">
        <v>311</v>
      </c>
      <c r="E101" s="19" t="s">
        <v>312</v>
      </c>
      <c r="H101" s="19" t="str">
        <f t="shared" si="3"/>
        <v>label var q23_3_08_2 "Q23_3_8_2. Frequency experienced - A road traffic accident in which someone else was injured that you caused or made worse"</v>
      </c>
    </row>
    <row r="102" spans="1:8" x14ac:dyDescent="0.2">
      <c r="A102" s="5" t="s">
        <v>313</v>
      </c>
      <c r="B102" s="9">
        <v>101</v>
      </c>
      <c r="C102" s="10" t="s">
        <v>314</v>
      </c>
      <c r="E102" s="19" t="s">
        <v>315</v>
      </c>
      <c r="H102" s="19" t="str">
        <f t="shared" si="3"/>
        <v>label var q23_3_08_3 "Q23_3_8_3. Frequency experienced - Work-related accident"</v>
      </c>
    </row>
    <row r="103" spans="1:8" x14ac:dyDescent="0.2">
      <c r="A103" s="5" t="s">
        <v>316</v>
      </c>
      <c r="B103" s="9">
        <v>102</v>
      </c>
      <c r="C103" s="10" t="s">
        <v>317</v>
      </c>
      <c r="E103" s="19" t="s">
        <v>318</v>
      </c>
      <c r="H103" s="19" t="str">
        <f t="shared" si="3"/>
        <v>label var q23_3_08_4 "Q23_3_8_4. Frequency experienced - Wrong or negligent medical treatment"</v>
      </c>
    </row>
    <row r="104" spans="1:8" x14ac:dyDescent="0.2">
      <c r="A104" s="5" t="s">
        <v>319</v>
      </c>
      <c r="B104" s="9">
        <v>103</v>
      </c>
      <c r="C104" s="10" t="s">
        <v>320</v>
      </c>
      <c r="E104" s="19" t="s">
        <v>321</v>
      </c>
      <c r="H104" s="19" t="str">
        <f t="shared" si="3"/>
        <v>label var q23_3_08_5 "Q23_3_8_5. Frequency experienced - Other injury or illness caused or worsened by someone else"</v>
      </c>
    </row>
    <row r="105" spans="1:8" x14ac:dyDescent="0.2">
      <c r="A105" s="5" t="s">
        <v>322</v>
      </c>
      <c r="B105" s="9">
        <v>104</v>
      </c>
      <c r="C105" s="10" t="s">
        <v>323</v>
      </c>
      <c r="E105" s="19" t="s">
        <v>324</v>
      </c>
      <c r="H105" s="19" t="str">
        <f t="shared" si="3"/>
        <v>label var q23_3_09_1 "Q23_3_9_1. Frequency experienced - Issues with jobseekers benefit or jobseekers allowance"</v>
      </c>
    </row>
    <row r="106" spans="1:8" x14ac:dyDescent="0.2">
      <c r="A106" s="5" t="s">
        <v>325</v>
      </c>
      <c r="B106" s="9">
        <v>105</v>
      </c>
      <c r="C106" s="10" t="s">
        <v>326</v>
      </c>
      <c r="E106" s="19" t="s">
        <v>327</v>
      </c>
      <c r="H106" s="19" t="str">
        <f t="shared" si="3"/>
        <v>label var q23_3_09_2 "Q23_3_9_2. Frequency experienced - Issues related to maternity/parental government benefit"</v>
      </c>
    </row>
    <row r="107" spans="1:8" x14ac:dyDescent="0.2">
      <c r="A107" s="5" t="s">
        <v>328</v>
      </c>
      <c r="B107" s="9">
        <v>106</v>
      </c>
      <c r="C107" s="10" t="s">
        <v>329</v>
      </c>
      <c r="E107" s="19" t="s">
        <v>330</v>
      </c>
      <c r="H107" s="19" t="str">
        <f t="shared" si="3"/>
        <v>label var q23_3_09_3 "Q23_3_9_3. Frequency experienced - Issues related to the State pension"</v>
      </c>
    </row>
    <row r="108" spans="1:8" x14ac:dyDescent="0.2">
      <c r="A108" s="5" t="s">
        <v>331</v>
      </c>
      <c r="B108" s="9">
        <v>107</v>
      </c>
      <c r="C108" s="10" t="s">
        <v>332</v>
      </c>
      <c r="E108" s="19" t="s">
        <v>333</v>
      </c>
      <c r="H108" s="19" t="str">
        <f t="shared" si="3"/>
        <v>label var q23_3_09_4 "Q23_3_9_4. Frequency experienced - Issues with education-related grants (e.g. student grant scheme)"</v>
      </c>
    </row>
    <row r="109" spans="1:8" x14ac:dyDescent="0.2">
      <c r="A109" s="5" t="s">
        <v>334</v>
      </c>
      <c r="B109" s="9">
        <v>108</v>
      </c>
      <c r="C109" s="10" t="s">
        <v>335</v>
      </c>
      <c r="E109" s="19" t="s">
        <v>336</v>
      </c>
      <c r="H109" s="19" t="str">
        <f t="shared" si="3"/>
        <v>label var q23_3_09_5 "Q23_3_9_5. Frequency experienced - Issues with Disability Allowance"</v>
      </c>
    </row>
    <row r="110" spans="1:8" x14ac:dyDescent="0.2">
      <c r="A110" s="5" t="s">
        <v>337</v>
      </c>
      <c r="B110" s="9">
        <v>109</v>
      </c>
      <c r="C110" s="10" t="s">
        <v>338</v>
      </c>
      <c r="E110" s="19" t="s">
        <v>339</v>
      </c>
      <c r="H110" s="19" t="str">
        <f t="shared" si="3"/>
        <v>label var q23_3_09_6 "Q23_3_9_6. Frequency experienced - Other government benefit/payment issues"</v>
      </c>
    </row>
    <row r="111" spans="1:8" x14ac:dyDescent="0.2">
      <c r="A111" s="5" t="s">
        <v>340</v>
      </c>
      <c r="B111" s="9">
        <v>110</v>
      </c>
      <c r="C111" s="10" t="s">
        <v>341</v>
      </c>
      <c r="E111" s="19" t="s">
        <v>342</v>
      </c>
      <c r="H111" s="19" t="str">
        <f t="shared" si="3"/>
        <v>label var q23_3_10_1 "Q23_3_10_1. Frequency experienced - Issues obtaining an Irish Passport other ID licences or other official documents"</v>
      </c>
    </row>
    <row r="112" spans="1:8" x14ac:dyDescent="0.2">
      <c r="A112" s="5" t="s">
        <v>343</v>
      </c>
      <c r="B112" s="9">
        <v>111</v>
      </c>
      <c r="C112" s="10" t="s">
        <v>344</v>
      </c>
      <c r="E112" s="19" t="s">
        <v>345</v>
      </c>
      <c r="H112" s="19" t="str">
        <f t="shared" si="3"/>
        <v>label var q23_3_10_2 "Q23_3_10_2. Frequency experienced - Issues with obtaining healthcare or disability services"</v>
      </c>
    </row>
    <row r="113" spans="1:8" ht="30" x14ac:dyDescent="0.2">
      <c r="A113" s="5" t="s">
        <v>346</v>
      </c>
      <c r="B113" s="9">
        <v>112</v>
      </c>
      <c r="C113" s="10" t="s">
        <v>347</v>
      </c>
      <c r="E113" s="19" t="s">
        <v>348</v>
      </c>
      <c r="H113" s="19" t="str">
        <f t="shared" si="3"/>
        <v>label var q23_3_10_3 "Q23_3_10_3. Frequency experienced - Issues with obtaining government/social housing (excluding issues experienced as a tenant)"</v>
      </c>
    </row>
    <row r="114" spans="1:8" x14ac:dyDescent="0.2">
      <c r="A114" s="5" t="s">
        <v>349</v>
      </c>
      <c r="B114" s="9">
        <v>113</v>
      </c>
      <c r="C114" s="10" t="s">
        <v>350</v>
      </c>
      <c r="E114" s="19" t="s">
        <v>351</v>
      </c>
      <c r="H114" s="19" t="str">
        <f t="shared" si="3"/>
        <v>label var q23_3_10_4 "Q23_3_10_4. Frequency experienced - Issues with obtaining education"</v>
      </c>
    </row>
    <row r="115" spans="1:8" x14ac:dyDescent="0.2">
      <c r="A115" s="5" t="s">
        <v>352</v>
      </c>
      <c r="B115" s="9">
        <v>114</v>
      </c>
      <c r="C115" s="10" t="s">
        <v>353</v>
      </c>
      <c r="E115" s="19" t="s">
        <v>354</v>
      </c>
      <c r="H115" s="19" t="str">
        <f t="shared" si="3"/>
        <v>label var q23_3_11_1 "Q23_3_11_1. Frequency experienced - Product/purchases not delivered or significantly delayed"</v>
      </c>
    </row>
    <row r="116" spans="1:8" ht="30" x14ac:dyDescent="0.2">
      <c r="A116" s="5" t="s">
        <v>355</v>
      </c>
      <c r="B116" s="9">
        <v>115</v>
      </c>
      <c r="C116" s="10" t="s">
        <v>356</v>
      </c>
      <c r="E116" s="19" t="s">
        <v>357</v>
      </c>
      <c r="H116" s="19" t="str">
        <f t="shared" si="3"/>
        <v>label var q23_3_11_2 "Q23_3_11_2. Frequency experienced - Difficulty getting refunds repairs or replacements for products that were faulty damaged or not as described"</v>
      </c>
    </row>
    <row r="117" spans="1:8" x14ac:dyDescent="0.2">
      <c r="A117" s="5" t="s">
        <v>358</v>
      </c>
      <c r="B117" s="9">
        <v>116</v>
      </c>
      <c r="C117" s="10" t="s">
        <v>359</v>
      </c>
      <c r="E117" s="19" t="s">
        <v>360</v>
      </c>
      <c r="H117" s="19" t="str">
        <f t="shared" si="3"/>
        <v>label var q23_3_12_1 "Q23_3_12_1. Frequency experienced - Issues with over-charging or hidden or unexpected fees"</v>
      </c>
    </row>
    <row r="118" spans="1:8" x14ac:dyDescent="0.2">
      <c r="A118" s="5" t="s">
        <v>361</v>
      </c>
      <c r="B118" s="9">
        <v>117</v>
      </c>
      <c r="C118" s="10" t="s">
        <v>362</v>
      </c>
      <c r="E118" s="19" t="s">
        <v>363</v>
      </c>
      <c r="H118" s="19" t="str">
        <f t="shared" si="3"/>
        <v>label var q23_3_12_2 "Q23_3_12_2. Frequency experienced - Issues with quality of services or other service-related disputes"</v>
      </c>
    </row>
    <row r="119" spans="1:8" ht="30" x14ac:dyDescent="0.2">
      <c r="A119" s="5" t="s">
        <v>364</v>
      </c>
      <c r="B119" s="9">
        <v>118</v>
      </c>
      <c r="C119" s="10" t="s">
        <v>365</v>
      </c>
      <c r="E119" s="19" t="s">
        <v>366</v>
      </c>
      <c r="H119" s="19" t="str">
        <f t="shared" si="3"/>
        <v>label var q23_3_13_1 "Q23_3_13_1. Frequency experienced - Unable to pay bills/loans/debts including buy-now-pay-later (excluding mortgage and rental payments)"</v>
      </c>
    </row>
    <row r="120" spans="1:8" x14ac:dyDescent="0.2">
      <c r="A120" s="5" t="s">
        <v>367</v>
      </c>
      <c r="B120" s="9">
        <v>119</v>
      </c>
      <c r="C120" s="10" t="s">
        <v>368</v>
      </c>
      <c r="E120" s="19" t="s">
        <v>369</v>
      </c>
      <c r="H120" s="19" t="str">
        <f t="shared" si="3"/>
        <v>label var q23_3_13_2 "Q23_3_13_2. Frequency experienced - Disputes about insurance coverage/claim"</v>
      </c>
    </row>
    <row r="121" spans="1:8" ht="30" x14ac:dyDescent="0.2">
      <c r="A121" s="5" t="s">
        <v>370</v>
      </c>
      <c r="B121" s="9">
        <v>120</v>
      </c>
      <c r="C121" s="10" t="s">
        <v>371</v>
      </c>
      <c r="E121" s="19" t="s">
        <v>372</v>
      </c>
      <c r="H121" s="19" t="str">
        <f t="shared" si="3"/>
        <v>label var q23_3_13_3 "Q23_3_13_3. Frequency experienced - Disputes with the bank or other financial institutions including refusal of credit/loan/mortgage"</v>
      </c>
    </row>
    <row r="122" spans="1:8" x14ac:dyDescent="0.2">
      <c r="A122" s="5" t="s">
        <v>373</v>
      </c>
      <c r="B122" s="9">
        <v>121</v>
      </c>
      <c r="C122" s="10" t="s">
        <v>374</v>
      </c>
      <c r="E122" s="19" t="s">
        <v>375</v>
      </c>
      <c r="H122" s="19" t="str">
        <f t="shared" si="3"/>
        <v>label var q23_3_13_4 "Q23_3_13_4. Frequency experienced - Disputes about tax assessments/payments/refunds"</v>
      </c>
    </row>
    <row r="123" spans="1:8" x14ac:dyDescent="0.2">
      <c r="A123" s="5" t="s">
        <v>376</v>
      </c>
      <c r="B123" s="9">
        <v>122</v>
      </c>
      <c r="C123" s="10" t="s">
        <v>377</v>
      </c>
      <c r="E123" s="19" t="s">
        <v>378</v>
      </c>
      <c r="H123" s="19" t="str">
        <f t="shared" si="3"/>
        <v>label var q23_3_13_5 "Q23_3_13_5. Frequency experienced - Difficulties getting someone to pay money they owe you (other than as a landlord)"</v>
      </c>
    </row>
    <row r="124" spans="1:8" x14ac:dyDescent="0.2">
      <c r="A124" s="5" t="s">
        <v>379</v>
      </c>
      <c r="B124" s="9">
        <v>123</v>
      </c>
      <c r="C124" s="10" t="s">
        <v>380</v>
      </c>
      <c r="E124" s="19" t="s">
        <v>381</v>
      </c>
      <c r="H124" s="19" t="str">
        <f t="shared" si="3"/>
        <v>label var q23_3_14_1 "Q23_3_14_1. Frequency experienced - Loss of a job or issues with pay/wages or other benefits"</v>
      </c>
    </row>
    <row r="125" spans="1:8" x14ac:dyDescent="0.2">
      <c r="A125" s="5" t="s">
        <v>382</v>
      </c>
      <c r="B125" s="9">
        <v>124</v>
      </c>
      <c r="C125" s="10" t="s">
        <v>383</v>
      </c>
      <c r="E125" s="19" t="s">
        <v>384</v>
      </c>
      <c r="H125" s="19" t="str">
        <f t="shared" si="3"/>
        <v>label var q23_3_14_2 "Q23_3_14_2. Frequency experienced - Exposure to health and safety risks"</v>
      </c>
    </row>
    <row r="126" spans="1:8" ht="30" x14ac:dyDescent="0.2">
      <c r="A126" s="5" t="s">
        <v>385</v>
      </c>
      <c r="B126" s="9">
        <v>125</v>
      </c>
      <c r="C126" s="10" t="s">
        <v>386</v>
      </c>
      <c r="E126" s="19" t="s">
        <v>387</v>
      </c>
      <c r="H126" s="19" t="str">
        <f t="shared" si="3"/>
        <v>label var q23_3_14_3 "Q23_3_14_3. Frequency experienced - Conflicts with employer or other employees including discrimination and harassment"</v>
      </c>
    </row>
    <row r="127" spans="1:8" x14ac:dyDescent="0.2">
      <c r="A127" s="5" t="s">
        <v>388</v>
      </c>
      <c r="B127" s="9">
        <v>126</v>
      </c>
      <c r="C127" s="10" t="s">
        <v>389</v>
      </c>
      <c r="E127" s="19" t="s">
        <v>390</v>
      </c>
      <c r="H127" s="19" t="str">
        <f t="shared" si="3"/>
        <v>label var q23_3_14_4 "Q23_3_14_4. Frequency experienced - Other employment-related disputes"</v>
      </c>
    </row>
    <row r="128" spans="1:8" x14ac:dyDescent="0.2">
      <c r="A128" s="5" t="s">
        <v>391</v>
      </c>
      <c r="B128" s="9">
        <v>127</v>
      </c>
      <c r="C128" s="10" t="s">
        <v>392</v>
      </c>
      <c r="E128" s="19" t="s">
        <v>393</v>
      </c>
      <c r="G128" s="19" t="s">
        <v>394</v>
      </c>
      <c r="H128" s="19" t="str">
        <f t="shared" si="3"/>
        <v>label var q23_2_catselected "Q23_2. Categorization Selected"</v>
      </c>
    </row>
    <row r="129" spans="1:8" ht="30" x14ac:dyDescent="0.2">
      <c r="A129" s="5" t="s">
        <v>395</v>
      </c>
      <c r="B129" s="9">
        <v>128</v>
      </c>
      <c r="C129" s="10" t="s">
        <v>396</v>
      </c>
      <c r="E129" s="19" t="s">
        <v>397</v>
      </c>
      <c r="H129" s="19" t="str">
        <f t="shared" si="3"/>
        <v>label var q23_4_01_1 "Q23_4_1_1. Issue ranking - Including issues with buying or selling property and disputes over title or ownership boundary locations and rights of way and Land Registry matters"</v>
      </c>
    </row>
    <row r="130" spans="1:8" x14ac:dyDescent="0.2">
      <c r="A130" s="5" t="s">
        <v>398</v>
      </c>
      <c r="B130" s="9">
        <v>129</v>
      </c>
      <c r="C130" s="10" t="s">
        <v>399</v>
      </c>
      <c r="E130" s="19" t="s">
        <v>400</v>
      </c>
      <c r="H130" s="19" t="str">
        <f t="shared" si="3"/>
        <v>label var q23_4_02_1 "Q23_4_2_1. Issue ranking - Disputes about maintenance including of boundaries trees gardens"</v>
      </c>
    </row>
    <row r="131" spans="1:8" x14ac:dyDescent="0.2">
      <c r="A131" s="5" t="s">
        <v>401</v>
      </c>
      <c r="B131" s="9">
        <v>130</v>
      </c>
      <c r="C131" s="10" t="s">
        <v>402</v>
      </c>
      <c r="E131" s="19" t="s">
        <v>403</v>
      </c>
      <c r="H131" s="19" t="str">
        <f t="shared" ref="H131:H194" si="4">_xlfn.CONCAT("label var ",A131," ",$H$1,C131,$H$1)</f>
        <v>label var q23_4_02_2 "Q23_4_2_2. Issue ranking - Problems or disputes to do with noise animals or unpleasant behaviour"</v>
      </c>
    </row>
    <row r="132" spans="1:8" x14ac:dyDescent="0.2">
      <c r="A132" s="5" t="s">
        <v>404</v>
      </c>
      <c r="B132" s="9">
        <v>131</v>
      </c>
      <c r="C132" s="10" t="s">
        <v>405</v>
      </c>
      <c r="E132" s="19" t="s">
        <v>406</v>
      </c>
      <c r="H132" s="19" t="str">
        <f t="shared" si="4"/>
        <v>label var q23_4_02_3 "Q23_4_2_3. Issue ranking - Other disputes with neighbours such as issues with parking"</v>
      </c>
    </row>
    <row r="133" spans="1:8" x14ac:dyDescent="0.2">
      <c r="A133" s="5" t="s">
        <v>407</v>
      </c>
      <c r="B133" s="9">
        <v>132</v>
      </c>
      <c r="C133" s="10" t="s">
        <v>408</v>
      </c>
      <c r="E133" s="19" t="s">
        <v>409</v>
      </c>
      <c r="H133" s="19" t="str">
        <f t="shared" si="4"/>
        <v>label var q23_4_03_1 "Q23_4_3_1. Issue ranking - Problems or disputes with your landlord over your rent or return of deposit"</v>
      </c>
    </row>
    <row r="134" spans="1:8" ht="30" x14ac:dyDescent="0.2">
      <c r="A134" s="5" t="s">
        <v>410</v>
      </c>
      <c r="B134" s="9">
        <v>133</v>
      </c>
      <c r="C134" s="10" t="s">
        <v>411</v>
      </c>
      <c r="E134" s="19" t="s">
        <v>412</v>
      </c>
      <c r="H134" s="19" t="str">
        <f t="shared" si="4"/>
        <v>label var q23_4_03_2 "Q23_4_3_2. Issue ranking - Problem with your landlord about the condition of your accommodation including damage/repairs"</v>
      </c>
    </row>
    <row r="135" spans="1:8" x14ac:dyDescent="0.2">
      <c r="A135" s="5" t="s">
        <v>413</v>
      </c>
      <c r="B135" s="9">
        <v>134</v>
      </c>
      <c r="C135" s="10" t="s">
        <v>414</v>
      </c>
      <c r="E135" s="19" t="s">
        <v>415</v>
      </c>
      <c r="H135" s="19" t="str">
        <f t="shared" si="4"/>
        <v>label var q23_4_03_3 "Q23_4_3_3. Issue ranking - Eviction or threats of eviction or other harassment by a landlord"</v>
      </c>
    </row>
    <row r="136" spans="1:8" x14ac:dyDescent="0.2">
      <c r="A136" s="5" t="s">
        <v>416</v>
      </c>
      <c r="B136" s="9">
        <v>135</v>
      </c>
      <c r="C136" s="10" t="s">
        <v>417</v>
      </c>
      <c r="E136" s="19" t="s">
        <v>418</v>
      </c>
      <c r="H136" s="19" t="str">
        <f t="shared" si="4"/>
        <v>label var q23_4_04_1 "Q23_4_4_1. Issue ranking - Issues with a tenant such as delayed/no payment of rent or dispute over a deposit"</v>
      </c>
    </row>
    <row r="137" spans="1:8" x14ac:dyDescent="0.2">
      <c r="A137" s="5" t="s">
        <v>419</v>
      </c>
      <c r="B137" s="9">
        <v>136</v>
      </c>
      <c r="C137" s="10" t="s">
        <v>420</v>
      </c>
      <c r="E137" s="19" t="s">
        <v>421</v>
      </c>
      <c r="H137" s="19" t="str">
        <f t="shared" si="4"/>
        <v>label var q23_4_04_2 "Q23_4_4_2. Issue ranking - Property-related issues such as damage by tenants or access to property"</v>
      </c>
    </row>
    <row r="138" spans="1:8" x14ac:dyDescent="0.2">
      <c r="A138" s="5" t="s">
        <v>422</v>
      </c>
      <c r="B138" s="9">
        <v>137</v>
      </c>
      <c r="C138" s="10" t="s">
        <v>423</v>
      </c>
      <c r="E138" s="19" t="s">
        <v>424</v>
      </c>
      <c r="H138" s="19" t="str">
        <f t="shared" si="4"/>
        <v>label var q23_4_04_3 "Q23_4_4_3. Issue ranking - Issues with tenants such as evictions or complaints"</v>
      </c>
    </row>
    <row r="139" spans="1:8" x14ac:dyDescent="0.2">
      <c r="A139" s="5" t="s">
        <v>425</v>
      </c>
      <c r="B139" s="9">
        <v>138</v>
      </c>
      <c r="C139" s="10" t="s">
        <v>426</v>
      </c>
      <c r="E139" s="19" t="s">
        <v>427</v>
      </c>
      <c r="H139" s="19" t="str">
        <f t="shared" si="4"/>
        <v>label var q23_4_05_1 "Q23_4_5_1. Issue ranking - Building/planning related disputes"</v>
      </c>
    </row>
    <row r="140" spans="1:8" ht="30" x14ac:dyDescent="0.2">
      <c r="A140" s="5" t="s">
        <v>428</v>
      </c>
      <c r="B140" s="9">
        <v>139</v>
      </c>
      <c r="C140" s="10" t="s">
        <v>429</v>
      </c>
      <c r="E140" s="19" t="s">
        <v>430</v>
      </c>
      <c r="H140" s="19" t="str">
        <f t="shared" si="4"/>
        <v>label var q23_4_05_2 "Q23_4_5_2. Issue ranking - Issues with builders/tradespeople about the quality of construction or repairs or disputes about costs"</v>
      </c>
    </row>
    <row r="141" spans="1:8" x14ac:dyDescent="0.2">
      <c r="A141" s="5" t="s">
        <v>431</v>
      </c>
      <c r="B141" s="9">
        <v>140</v>
      </c>
      <c r="C141" s="10" t="s">
        <v>432</v>
      </c>
      <c r="E141" s="19" t="s">
        <v>433</v>
      </c>
      <c r="H141" s="19" t="str">
        <f t="shared" si="4"/>
        <v>label var q23_4_05_3 "Q23_4_5_3. Issue ranking - Disputes about communal repairs/maintenance/costs"</v>
      </c>
    </row>
    <row r="142" spans="1:8" x14ac:dyDescent="0.2">
      <c r="A142" s="5" t="s">
        <v>434</v>
      </c>
      <c r="B142" s="9">
        <v>141</v>
      </c>
      <c r="C142" s="10" t="s">
        <v>435</v>
      </c>
      <c r="E142" s="19" t="s">
        <v>436</v>
      </c>
      <c r="H142" s="19" t="str">
        <f t="shared" si="4"/>
        <v>label var q23_4_05_4 "Q23_4_5_4. Issue ranking - Problems or disputes concerning Local Property Tax or Council/local services"</v>
      </c>
    </row>
    <row r="143" spans="1:8" x14ac:dyDescent="0.2">
      <c r="A143" s="5" t="s">
        <v>437</v>
      </c>
      <c r="B143" s="9">
        <v>142</v>
      </c>
      <c r="C143" s="10" t="s">
        <v>438</v>
      </c>
      <c r="E143" s="19" t="s">
        <v>439</v>
      </c>
      <c r="H143" s="19" t="str">
        <f t="shared" si="4"/>
        <v>label var q23_4_05_5 "Q23_4_5_5. Issue ranking - Squatters"</v>
      </c>
    </row>
    <row r="144" spans="1:8" ht="30" x14ac:dyDescent="0.2">
      <c r="A144" s="5" t="s">
        <v>440</v>
      </c>
      <c r="B144" s="9">
        <v>143</v>
      </c>
      <c r="C144" s="10" t="s">
        <v>441</v>
      </c>
      <c r="E144" s="19" t="s">
        <v>442</v>
      </c>
      <c r="H144" s="19" t="str">
        <f t="shared" si="4"/>
        <v>label var q23_4_05_6 "Q23_4_5_6. Issue ranking - Dispute with utilities/essential services (e.g. waste disposal water electricity internet or other utility provider)"</v>
      </c>
    </row>
    <row r="145" spans="1:8" x14ac:dyDescent="0.2">
      <c r="A145" s="5" t="s">
        <v>443</v>
      </c>
      <c r="B145" s="9">
        <v>144</v>
      </c>
      <c r="C145" s="10" t="s">
        <v>444</v>
      </c>
      <c r="E145" s="19" t="s">
        <v>445</v>
      </c>
      <c r="H145" s="19" t="str">
        <f t="shared" si="4"/>
        <v>label var q23_4_05_7 "Q23_4_5_7. Issue ranking - Mortgage related issues including repossession threatened repossession or late payment"</v>
      </c>
    </row>
    <row r="146" spans="1:8" x14ac:dyDescent="0.2">
      <c r="A146" s="5" t="s">
        <v>446</v>
      </c>
      <c r="B146" s="9">
        <v>145</v>
      </c>
      <c r="C146" s="10" t="s">
        <v>447</v>
      </c>
      <c r="E146" s="19" t="s">
        <v>448</v>
      </c>
      <c r="H146" s="19" t="str">
        <f t="shared" si="4"/>
        <v>label var q23_4_06_1 "Q23_4_6_1. Issue ranking - Separation and/or divorce"</v>
      </c>
    </row>
    <row r="147" spans="1:8" x14ac:dyDescent="0.2">
      <c r="A147" s="5" t="s">
        <v>449</v>
      </c>
      <c r="B147" s="9">
        <v>146</v>
      </c>
      <c r="C147" s="10" t="s">
        <v>450</v>
      </c>
      <c r="E147" s="19" t="s">
        <v>451</v>
      </c>
      <c r="H147" s="19" t="str">
        <f t="shared" si="4"/>
        <v>label var q23_4_06_2 "Q23_4_6_2. Issue ranking - Violent or controlling behaviour by a current or former partner"</v>
      </c>
    </row>
    <row r="148" spans="1:8" x14ac:dyDescent="0.2">
      <c r="A148" s="5" t="s">
        <v>452</v>
      </c>
      <c r="B148" s="9">
        <v>147</v>
      </c>
      <c r="C148" s="10" t="s">
        <v>453</v>
      </c>
      <c r="E148" s="19" t="s">
        <v>454</v>
      </c>
      <c r="H148" s="19" t="str">
        <f t="shared" si="4"/>
        <v>label var q23_4_06_3 "Q23_4_6_3. Issue ranking - Violent or controlling behaviour by another family member"</v>
      </c>
    </row>
    <row r="149" spans="1:8" x14ac:dyDescent="0.2">
      <c r="A149" s="5" t="s">
        <v>455</v>
      </c>
      <c r="B149" s="9">
        <v>148</v>
      </c>
      <c r="C149" s="10" t="s">
        <v>456</v>
      </c>
      <c r="E149" s="19" t="s">
        <v>457</v>
      </c>
      <c r="H149" s="19" t="str">
        <f t="shared" si="4"/>
        <v>label var q23_4_06_4 "Q23_4_6_4. Issue ranking - Issues related to child access custody or child/spousal maintenance"</v>
      </c>
    </row>
    <row r="150" spans="1:8" x14ac:dyDescent="0.2">
      <c r="A150" s="5" t="s">
        <v>458</v>
      </c>
      <c r="B150" s="9">
        <v>149</v>
      </c>
      <c r="C150" s="10" t="s">
        <v>459</v>
      </c>
      <c r="E150" s="19" t="s">
        <v>460</v>
      </c>
      <c r="H150" s="19" t="str">
        <f t="shared" si="4"/>
        <v>label var q23_4_06_5 "Q23_4_6_5. Issue ranking - Problems or disputes related to elderly or other dependent adult care"</v>
      </c>
    </row>
    <row r="151" spans="1:8" x14ac:dyDescent="0.2">
      <c r="A151" s="5" t="s">
        <v>461</v>
      </c>
      <c r="B151" s="9">
        <v>150</v>
      </c>
      <c r="C151" s="10" t="s">
        <v>462</v>
      </c>
      <c r="E151" s="19" t="s">
        <v>463</v>
      </c>
      <c r="H151" s="19" t="str">
        <f t="shared" si="4"/>
        <v>label var q23_4_06_6 "Q23_4_6_6. Issue ranking - Disputes related to inheritance or a will"</v>
      </c>
    </row>
    <row r="152" spans="1:8" x14ac:dyDescent="0.2">
      <c r="A152" s="5" t="s">
        <v>464</v>
      </c>
      <c r="B152" s="9">
        <v>151</v>
      </c>
      <c r="C152" s="10" t="s">
        <v>465</v>
      </c>
      <c r="E152" s="19" t="s">
        <v>466</v>
      </c>
      <c r="H152" s="19" t="str">
        <f t="shared" si="4"/>
        <v>label var q23_4_07_1 "Q23_4_7_1. Issue ranking - Issues obtaining or with an Irish visa or residence card renewal"</v>
      </c>
    </row>
    <row r="153" spans="1:8" x14ac:dyDescent="0.2">
      <c r="A153" s="5" t="s">
        <v>467</v>
      </c>
      <c r="B153" s="9">
        <v>152</v>
      </c>
      <c r="C153" s="10" t="s">
        <v>468</v>
      </c>
      <c r="E153" s="19" t="s">
        <v>469</v>
      </c>
      <c r="H153" s="19" t="str">
        <f t="shared" si="4"/>
        <v>label var q23_4_07_2 "Q23_4_7_2. Issue ranking - Issues seeking international protection subsidiary protection or permission to remain"</v>
      </c>
    </row>
    <row r="154" spans="1:8" x14ac:dyDescent="0.2">
      <c r="A154" s="5" t="s">
        <v>470</v>
      </c>
      <c r="B154" s="9">
        <v>153</v>
      </c>
      <c r="C154" s="10" t="s">
        <v>471</v>
      </c>
      <c r="E154" s="19" t="s">
        <v>472</v>
      </c>
      <c r="H154" s="19" t="str">
        <f t="shared" si="4"/>
        <v>label var q23_4_07_3 "Q23_4_7_3. Issue ranking - Issues with an overseas visa / EU residence / emigration"</v>
      </c>
    </row>
    <row r="155" spans="1:8" x14ac:dyDescent="0.2">
      <c r="A155" s="5" t="s">
        <v>473</v>
      </c>
      <c r="B155" s="9">
        <v>154</v>
      </c>
      <c r="C155" s="10" t="s">
        <v>474</v>
      </c>
      <c r="E155" s="19" t="s">
        <v>475</v>
      </c>
      <c r="H155" s="19" t="str">
        <f t="shared" si="4"/>
        <v>label var q23_4_07_4 "Q23_4_7_4. Issue ranking - Issues applying for Irish naturalisation/citizenship"</v>
      </c>
    </row>
    <row r="156" spans="1:8" x14ac:dyDescent="0.2">
      <c r="A156" s="5" t="s">
        <v>476</v>
      </c>
      <c r="B156" s="9">
        <v>155</v>
      </c>
      <c r="C156" s="10" t="s">
        <v>477</v>
      </c>
      <c r="E156" s="19" t="s">
        <v>478</v>
      </c>
      <c r="H156" s="19" t="str">
        <f t="shared" si="4"/>
        <v>label var q23_4_07_5 "Q23_4_7_5. Issue ranking - Other citizenship or migration related issue"</v>
      </c>
    </row>
    <row r="157" spans="1:8" x14ac:dyDescent="0.2">
      <c r="A157" s="5" t="s">
        <v>479</v>
      </c>
      <c r="B157" s="9">
        <v>156</v>
      </c>
      <c r="C157" s="10" t="s">
        <v>480</v>
      </c>
      <c r="E157" s="19" t="s">
        <v>481</v>
      </c>
      <c r="H157" s="19" t="str">
        <f t="shared" si="4"/>
        <v>label var q23_4_08_1 "Q23_4_8_1. Issue ranking - A road traffic accident in which you were injured caused or made worse by someone else"</v>
      </c>
    </row>
    <row r="158" spans="1:8" x14ac:dyDescent="0.2">
      <c r="A158" s="5" t="s">
        <v>482</v>
      </c>
      <c r="B158" s="9">
        <v>157</v>
      </c>
      <c r="C158" s="10" t="s">
        <v>483</v>
      </c>
      <c r="E158" s="19" t="s">
        <v>484</v>
      </c>
      <c r="H158" s="19" t="str">
        <f t="shared" si="4"/>
        <v>label var q23_4_08_2 "Q23_4_8_2. Issue ranking - A road traffic accident in which someone else was injured that you caused or made worse"</v>
      </c>
    </row>
    <row r="159" spans="1:8" x14ac:dyDescent="0.2">
      <c r="A159" s="5" t="s">
        <v>485</v>
      </c>
      <c r="B159" s="9">
        <v>158</v>
      </c>
      <c r="C159" s="10" t="s">
        <v>486</v>
      </c>
      <c r="E159" s="19" t="s">
        <v>487</v>
      </c>
      <c r="H159" s="19" t="str">
        <f t="shared" si="4"/>
        <v>label var q23_4_08_3 "Q23_4_8_3. Issue ranking - Work-related accident"</v>
      </c>
    </row>
    <row r="160" spans="1:8" x14ac:dyDescent="0.2">
      <c r="A160" s="5" t="s">
        <v>488</v>
      </c>
      <c r="B160" s="9">
        <v>159</v>
      </c>
      <c r="C160" s="10" t="s">
        <v>489</v>
      </c>
      <c r="E160" s="19" t="s">
        <v>490</v>
      </c>
      <c r="H160" s="19" t="str">
        <f t="shared" si="4"/>
        <v>label var q23_4_08_4 "Q23_4_8_4. Issue ranking - Wrong or negligent medical treatment"</v>
      </c>
    </row>
    <row r="161" spans="1:8" x14ac:dyDescent="0.2">
      <c r="A161" s="5" t="s">
        <v>491</v>
      </c>
      <c r="B161" s="9">
        <v>160</v>
      </c>
      <c r="C161" s="10" t="s">
        <v>492</v>
      </c>
      <c r="E161" s="19" t="s">
        <v>493</v>
      </c>
      <c r="H161" s="19" t="str">
        <f t="shared" si="4"/>
        <v>label var q23_4_08_5 "Q23_4_8_5. Issue ranking - Other injury or illness caused or worsened by someone else"</v>
      </c>
    </row>
    <row r="162" spans="1:8" x14ac:dyDescent="0.2">
      <c r="A162" s="5" t="s">
        <v>494</v>
      </c>
      <c r="B162" s="9">
        <v>161</v>
      </c>
      <c r="C162" s="10" t="s">
        <v>495</v>
      </c>
      <c r="E162" s="19" t="s">
        <v>496</v>
      </c>
      <c r="H162" s="19" t="str">
        <f t="shared" si="4"/>
        <v>label var q23_4_09_1 "Q23_4_9_1. Issue ranking - Issues with jobseekers benefit or jobseekers allowance"</v>
      </c>
    </row>
    <row r="163" spans="1:8" x14ac:dyDescent="0.2">
      <c r="A163" s="5" t="s">
        <v>497</v>
      </c>
      <c r="B163" s="9">
        <v>162</v>
      </c>
      <c r="C163" s="10" t="s">
        <v>498</v>
      </c>
      <c r="E163" s="19" t="s">
        <v>499</v>
      </c>
      <c r="H163" s="19" t="str">
        <f t="shared" si="4"/>
        <v>label var q23_4_09_2 "Q23_4_9_2. Issue ranking - Issues related to maternity/parental government benefit"</v>
      </c>
    </row>
    <row r="164" spans="1:8" x14ac:dyDescent="0.2">
      <c r="A164" s="5" t="s">
        <v>500</v>
      </c>
      <c r="B164" s="9">
        <v>163</v>
      </c>
      <c r="C164" s="10" t="s">
        <v>501</v>
      </c>
      <c r="E164" s="19" t="s">
        <v>502</v>
      </c>
      <c r="H164" s="19" t="str">
        <f t="shared" si="4"/>
        <v>label var q23_4_09_3 "Q23_4_9_3. Issue ranking - Issues related to the State pension"</v>
      </c>
    </row>
    <row r="165" spans="1:8" x14ac:dyDescent="0.2">
      <c r="A165" s="5" t="s">
        <v>503</v>
      </c>
      <c r="B165" s="9">
        <v>164</v>
      </c>
      <c r="C165" s="10" t="s">
        <v>504</v>
      </c>
      <c r="E165" s="19" t="s">
        <v>505</v>
      </c>
      <c r="H165" s="19" t="str">
        <f t="shared" si="4"/>
        <v>label var q23_4_09_4 "Q23_4_9_4. Issue ranking - Issues with education-related grants (e.g. student grant scheme)"</v>
      </c>
    </row>
    <row r="166" spans="1:8" x14ac:dyDescent="0.2">
      <c r="A166" s="5" t="s">
        <v>506</v>
      </c>
      <c r="B166" s="9">
        <v>165</v>
      </c>
      <c r="C166" s="10" t="s">
        <v>507</v>
      </c>
      <c r="E166" s="19" t="s">
        <v>508</v>
      </c>
      <c r="H166" s="19" t="str">
        <f t="shared" si="4"/>
        <v>label var q23_4_09_5 "Q23_4_9_5. Issue ranking - Issues with Disability Allowance"</v>
      </c>
    </row>
    <row r="167" spans="1:8" x14ac:dyDescent="0.2">
      <c r="A167" s="5" t="s">
        <v>509</v>
      </c>
      <c r="B167" s="9">
        <v>166</v>
      </c>
      <c r="C167" s="10" t="s">
        <v>510</v>
      </c>
      <c r="E167" s="19" t="s">
        <v>511</v>
      </c>
      <c r="H167" s="19" t="str">
        <f t="shared" si="4"/>
        <v>label var q23_4_09_6 "Q23_4_9_6. Issue ranking - Other government benefit/payment issues"</v>
      </c>
    </row>
    <row r="168" spans="1:8" x14ac:dyDescent="0.2">
      <c r="A168" s="5" t="s">
        <v>512</v>
      </c>
      <c r="B168" s="9">
        <v>167</v>
      </c>
      <c r="C168" s="10" t="s">
        <v>513</v>
      </c>
      <c r="E168" s="19" t="s">
        <v>514</v>
      </c>
      <c r="H168" s="19" t="str">
        <f t="shared" si="4"/>
        <v>label var q23_4_10_1 "Q23_4_10_1. Issue ranking - Issues obtaining an Irish Passport other ID licences or other official documents"</v>
      </c>
    </row>
    <row r="169" spans="1:8" x14ac:dyDescent="0.2">
      <c r="A169" s="5" t="s">
        <v>515</v>
      </c>
      <c r="B169" s="9">
        <v>168</v>
      </c>
      <c r="C169" s="10" t="s">
        <v>516</v>
      </c>
      <c r="E169" s="19" t="s">
        <v>517</v>
      </c>
      <c r="H169" s="19" t="str">
        <f t="shared" si="4"/>
        <v>label var q23_4_10_2 "Q23_4_10_2. Issue ranking - Issues with obtaining healthcare or disability services"</v>
      </c>
    </row>
    <row r="170" spans="1:8" ht="30" x14ac:dyDescent="0.2">
      <c r="A170" s="5" t="s">
        <v>518</v>
      </c>
      <c r="B170" s="9">
        <v>169</v>
      </c>
      <c r="C170" s="10" t="s">
        <v>519</v>
      </c>
      <c r="E170" s="19" t="s">
        <v>520</v>
      </c>
      <c r="H170" s="19" t="str">
        <f t="shared" si="4"/>
        <v>label var q23_4_10_3 "Q23_4_10_3. Issue ranking - Issues with obtaining government/social housing (excluding issues experienced as a tenant)"</v>
      </c>
    </row>
    <row r="171" spans="1:8" x14ac:dyDescent="0.2">
      <c r="A171" s="5" t="s">
        <v>521</v>
      </c>
      <c r="B171" s="9">
        <v>170</v>
      </c>
      <c r="C171" s="10" t="s">
        <v>522</v>
      </c>
      <c r="E171" s="19" t="s">
        <v>523</v>
      </c>
      <c r="H171" s="19" t="str">
        <f t="shared" si="4"/>
        <v>label var q23_4_10_4 "Q23_4_10_4. Issue ranking - Issues with obtaining education"</v>
      </c>
    </row>
    <row r="172" spans="1:8" x14ac:dyDescent="0.2">
      <c r="A172" s="5" t="s">
        <v>524</v>
      </c>
      <c r="B172" s="9">
        <v>171</v>
      </c>
      <c r="C172" s="10" t="s">
        <v>525</v>
      </c>
      <c r="E172" s="19" t="s">
        <v>526</v>
      </c>
      <c r="H172" s="19" t="str">
        <f t="shared" si="4"/>
        <v>label var q23_4_11_1 "Q23_4_11_1. Issue ranking - Product/purchases not delivered or significantly delayed"</v>
      </c>
    </row>
    <row r="173" spans="1:8" ht="30" x14ac:dyDescent="0.2">
      <c r="A173" s="5" t="s">
        <v>527</v>
      </c>
      <c r="B173" s="9">
        <v>172</v>
      </c>
      <c r="C173" s="10" t="s">
        <v>528</v>
      </c>
      <c r="E173" s="19" t="s">
        <v>529</v>
      </c>
      <c r="H173" s="19" t="str">
        <f t="shared" si="4"/>
        <v>label var q23_4_11_2 "Q23_4_11_2. Issue ranking - Difficulty getting refunds repairs or replacements for products that were faulty damaged or not as described"</v>
      </c>
    </row>
    <row r="174" spans="1:8" x14ac:dyDescent="0.2">
      <c r="A174" s="5" t="s">
        <v>530</v>
      </c>
      <c r="B174" s="9">
        <v>173</v>
      </c>
      <c r="C174" s="10" t="s">
        <v>531</v>
      </c>
      <c r="E174" s="19" t="s">
        <v>532</v>
      </c>
      <c r="H174" s="19" t="str">
        <f t="shared" si="4"/>
        <v>label var q23_4_12_1 "Q23_4_12_1. Issue ranking - Issues with over-charging or hidden or unexpected fees"</v>
      </c>
    </row>
    <row r="175" spans="1:8" x14ac:dyDescent="0.2">
      <c r="A175" s="5" t="s">
        <v>533</v>
      </c>
      <c r="B175" s="9">
        <v>174</v>
      </c>
      <c r="C175" s="10" t="s">
        <v>534</v>
      </c>
      <c r="E175" s="19" t="s">
        <v>535</v>
      </c>
      <c r="H175" s="19" t="str">
        <f t="shared" si="4"/>
        <v>label var q23_4_12_2 "Q23_4_12_2. Issue ranking - Issues with quality of services or other service-related disputes"</v>
      </c>
    </row>
    <row r="176" spans="1:8" ht="30" x14ac:dyDescent="0.2">
      <c r="A176" s="5" t="s">
        <v>536</v>
      </c>
      <c r="B176" s="9">
        <v>175</v>
      </c>
      <c r="C176" s="10" t="s">
        <v>537</v>
      </c>
      <c r="E176" s="19" t="s">
        <v>538</v>
      </c>
      <c r="H176" s="19" t="str">
        <f t="shared" si="4"/>
        <v>label var q23_4_13_1 "Q23_4_13_1. Issue ranking - Unable to pay bills/loans/debts including buy-now-pay-later (excluding mortgage and rental payments)"</v>
      </c>
    </row>
    <row r="177" spans="1:8" x14ac:dyDescent="0.2">
      <c r="A177" s="5" t="s">
        <v>539</v>
      </c>
      <c r="B177" s="9">
        <v>176</v>
      </c>
      <c r="C177" s="10" t="s">
        <v>540</v>
      </c>
      <c r="E177" s="19" t="s">
        <v>541</v>
      </c>
      <c r="H177" s="19" t="str">
        <f t="shared" si="4"/>
        <v>label var q23_4_13_2 "Q23_4_13_2. Issue ranking - Disputes about insurance coverage/claim"</v>
      </c>
    </row>
    <row r="178" spans="1:8" ht="30" x14ac:dyDescent="0.2">
      <c r="A178" s="5" t="s">
        <v>542</v>
      </c>
      <c r="B178" s="9">
        <v>177</v>
      </c>
      <c r="C178" s="10" t="s">
        <v>543</v>
      </c>
      <c r="E178" s="19" t="s">
        <v>544</v>
      </c>
      <c r="H178" s="19" t="str">
        <f t="shared" si="4"/>
        <v>label var q23_4_13_3 "Q23_4_13_3. Issue ranking - Disputes with the bank or other financial institutions including refusal of credit/loan/mortgage"</v>
      </c>
    </row>
    <row r="179" spans="1:8" x14ac:dyDescent="0.2">
      <c r="A179" s="5" t="s">
        <v>545</v>
      </c>
      <c r="B179" s="9">
        <v>178</v>
      </c>
      <c r="C179" s="10" t="s">
        <v>546</v>
      </c>
      <c r="E179" s="19" t="s">
        <v>547</v>
      </c>
      <c r="H179" s="19" t="str">
        <f t="shared" si="4"/>
        <v>label var q23_4_13_4 "Q23_4_13_4. Issue ranking - Disputes about tax assessments/payments/refunds"</v>
      </c>
    </row>
    <row r="180" spans="1:8" x14ac:dyDescent="0.2">
      <c r="A180" s="5" t="s">
        <v>548</v>
      </c>
      <c r="B180" s="9">
        <v>179</v>
      </c>
      <c r="C180" s="10" t="s">
        <v>549</v>
      </c>
      <c r="E180" s="19" t="s">
        <v>550</v>
      </c>
      <c r="H180" s="19" t="str">
        <f t="shared" si="4"/>
        <v>label var q23_4_13_5 "Q23_4_13_5. Issue ranking - Difficulties getting someone to pay money they owe you (other than as a landlord)"</v>
      </c>
    </row>
    <row r="181" spans="1:8" x14ac:dyDescent="0.2">
      <c r="A181" s="5" t="s">
        <v>551</v>
      </c>
      <c r="B181" s="9">
        <v>180</v>
      </c>
      <c r="C181" s="10" t="s">
        <v>552</v>
      </c>
      <c r="E181" s="19" t="s">
        <v>553</v>
      </c>
      <c r="H181" s="19" t="str">
        <f t="shared" si="4"/>
        <v>label var q23_4_14_1 "Q23_4_14_1. Issue ranking - Loss of a job or issues with pay/wages or other benefits"</v>
      </c>
    </row>
    <row r="182" spans="1:8" x14ac:dyDescent="0.2">
      <c r="A182" s="5" t="s">
        <v>554</v>
      </c>
      <c r="B182" s="9">
        <v>181</v>
      </c>
      <c r="C182" s="10" t="s">
        <v>555</v>
      </c>
      <c r="E182" s="19" t="s">
        <v>556</v>
      </c>
      <c r="H182" s="19" t="str">
        <f t="shared" si="4"/>
        <v>label var q23_4_14_2 "Q23_4_14_2. Issue ranking - Exposure to health and safety risks"</v>
      </c>
    </row>
    <row r="183" spans="1:8" x14ac:dyDescent="0.2">
      <c r="A183" s="5" t="s">
        <v>557</v>
      </c>
      <c r="B183" s="9">
        <v>182</v>
      </c>
      <c r="C183" s="10" t="s">
        <v>558</v>
      </c>
      <c r="E183" s="19" t="s">
        <v>559</v>
      </c>
      <c r="H183" s="19" t="str">
        <f t="shared" si="4"/>
        <v>label var q23_4_14_3 "Q23_4_14_3. Issue ranking - Conflicts with employer or other employees including discrimination and harassment"</v>
      </c>
    </row>
    <row r="184" spans="1:8" x14ac:dyDescent="0.2">
      <c r="A184" s="5" t="s">
        <v>560</v>
      </c>
      <c r="B184" s="9">
        <v>183</v>
      </c>
      <c r="C184" s="10" t="s">
        <v>561</v>
      </c>
      <c r="E184" s="19" t="s">
        <v>562</v>
      </c>
      <c r="H184" s="19" t="str">
        <f t="shared" si="4"/>
        <v>label var q23_4_14_4 "Q23_4_14_4. Issue ranking - Other employment-related disputes"</v>
      </c>
    </row>
    <row r="185" spans="1:8" ht="30" x14ac:dyDescent="0.2">
      <c r="A185" s="5" t="s">
        <v>563</v>
      </c>
      <c r="B185" s="9">
        <v>184</v>
      </c>
      <c r="C185" s="10" t="s">
        <v>564</v>
      </c>
      <c r="D185" s="19" t="s">
        <v>565</v>
      </c>
      <c r="E185" s="19" t="s">
        <v>565</v>
      </c>
      <c r="H185" s="19" t="str">
        <f t="shared" si="4"/>
        <v>label var q23_4_recentissue_selected "Q23_4. Recent Issue Selected"</v>
      </c>
    </row>
    <row r="186" spans="1:8" ht="30" x14ac:dyDescent="0.2">
      <c r="A186" s="5" t="s">
        <v>566</v>
      </c>
      <c r="B186" s="9">
        <v>185</v>
      </c>
      <c r="C186" s="10" t="s">
        <v>567</v>
      </c>
      <c r="D186" s="20" t="s">
        <v>568</v>
      </c>
      <c r="E186" s="19" t="s">
        <v>569</v>
      </c>
      <c r="H186" s="19" t="str">
        <f t="shared" si="4"/>
        <v>label var q24 "Q24. Is this issue still ongoing or is it done with, either because it is resolved or because you, and anyone else, have given up trying to resolve it?"</v>
      </c>
    </row>
    <row r="187" spans="1:8" ht="30" x14ac:dyDescent="0.2">
      <c r="A187" s="5" t="s">
        <v>570</v>
      </c>
      <c r="B187" s="9">
        <v>186</v>
      </c>
      <c r="C187" s="10" t="s">
        <v>571</v>
      </c>
      <c r="E187" s="19" t="s">
        <v>572</v>
      </c>
      <c r="H187" s="19" t="str">
        <f t="shared" si="4"/>
        <v>label var q24_1_1 "Q24_1. Which of the following describes the current status of the issue? - A formal legal process is ongoing (e.g. at a court or tribunal)"</v>
      </c>
    </row>
    <row r="188" spans="1:8" ht="30" x14ac:dyDescent="0.2">
      <c r="A188" s="5" t="s">
        <v>573</v>
      </c>
      <c r="B188" s="9">
        <v>187</v>
      </c>
      <c r="C188" s="10" t="s">
        <v>574</v>
      </c>
      <c r="E188" s="19" t="s">
        <v>575</v>
      </c>
      <c r="H188" s="19" t="str">
        <f t="shared" si="4"/>
        <v>label var q24_1_2 "Q24_1. Which of the following describes the current status of the issue? - Another dispute resolution process outside a court or a tribunal is ongoing"</v>
      </c>
    </row>
    <row r="189" spans="1:8" ht="30" x14ac:dyDescent="0.2">
      <c r="A189" s="5" t="s">
        <v>576</v>
      </c>
      <c r="B189" s="9">
        <v>188</v>
      </c>
      <c r="C189" s="10" t="s">
        <v>577</v>
      </c>
      <c r="E189" s="19" t="s">
        <v>578</v>
      </c>
      <c r="H189" s="19" t="str">
        <f t="shared" si="4"/>
        <v>label var q24_1_3 "Q24_1. Which of the following describes the current status of the issue? - There is no dispute resolution process ongoing, but I am actively seeking advice or support to resolve or finish it"</v>
      </c>
    </row>
    <row r="190" spans="1:8" ht="30" x14ac:dyDescent="0.2">
      <c r="A190" s="5" t="s">
        <v>579</v>
      </c>
      <c r="B190" s="9">
        <v>189</v>
      </c>
      <c r="C190" s="10" t="s">
        <v>580</v>
      </c>
      <c r="E190" s="19" t="s">
        <v>581</v>
      </c>
      <c r="H190" s="19" t="str">
        <f t="shared" si="4"/>
        <v>label var q24_1_4 "Q24_1. Which of the following describes the current status of the issue? - I have not taken recent action as I am waiting for the other party to act or respond"</v>
      </c>
    </row>
    <row r="191" spans="1:8" ht="30" x14ac:dyDescent="0.2">
      <c r="A191" s="5" t="s">
        <v>582</v>
      </c>
      <c r="B191" s="9">
        <v>190</v>
      </c>
      <c r="C191" s="10" t="s">
        <v>583</v>
      </c>
      <c r="E191" s="19" t="s">
        <v>584</v>
      </c>
      <c r="H191" s="19" t="str">
        <f t="shared" si="4"/>
        <v>label var q24_1_5 "Q24_1. Which of the following describes the current status of the issue? - No recent action has been taken, but I still intend to resolve it"</v>
      </c>
    </row>
    <row r="192" spans="1:8" x14ac:dyDescent="0.2">
      <c r="A192" s="5" t="s">
        <v>585</v>
      </c>
      <c r="B192" s="9">
        <v>191</v>
      </c>
      <c r="C192" s="10" t="s">
        <v>586</v>
      </c>
      <c r="E192" s="19" t="s">
        <v>587</v>
      </c>
      <c r="H192" s="19" t="str">
        <f t="shared" si="4"/>
        <v>label var q24_1_6 "Q24_1. Which of the following describes the current status of the issue? - No recent action has been taken"</v>
      </c>
    </row>
    <row r="193" spans="1:8" x14ac:dyDescent="0.2">
      <c r="A193" s="5" t="s">
        <v>588</v>
      </c>
      <c r="B193" s="9">
        <v>192</v>
      </c>
      <c r="C193" s="10" t="s">
        <v>589</v>
      </c>
      <c r="E193" s="19" t="s">
        <v>590</v>
      </c>
      <c r="H193" s="19" t="str">
        <f t="shared" si="4"/>
        <v>label var q24_1_7 "Q24_1. Which of the following describes the current status of the issue? - Other, please specify:"</v>
      </c>
    </row>
    <row r="194" spans="1:8" x14ac:dyDescent="0.2">
      <c r="A194" s="5" t="s">
        <v>591</v>
      </c>
      <c r="B194" s="9">
        <v>193</v>
      </c>
      <c r="C194" s="10" t="s">
        <v>592</v>
      </c>
      <c r="E194" s="19" t="s">
        <v>593</v>
      </c>
      <c r="H194" s="19" t="str">
        <f t="shared" si="4"/>
        <v>label var q24_1_8 "Q24_1. Which of the following describes the current status of the issue? - Don't know"</v>
      </c>
    </row>
    <row r="195" spans="1:8" x14ac:dyDescent="0.2">
      <c r="A195" s="5" t="s">
        <v>594</v>
      </c>
      <c r="B195" s="9">
        <v>194</v>
      </c>
      <c r="C195" s="10" t="s">
        <v>595</v>
      </c>
      <c r="E195" s="19" t="s">
        <v>596</v>
      </c>
      <c r="H195" s="19" t="str">
        <f t="shared" ref="H195:H258" si="5">_xlfn.CONCAT("label var ",A195," ",$H$1,C195,$H$1)</f>
        <v>label var q24_1_9 "Q24_1. Which of the following describes the current status of the issue? - Prefer not to say"</v>
      </c>
    </row>
    <row r="196" spans="1:8" x14ac:dyDescent="0.2">
      <c r="A196" s="5" t="s">
        <v>597</v>
      </c>
      <c r="B196" s="9">
        <v>195</v>
      </c>
      <c r="C196" s="10" t="s">
        <v>598</v>
      </c>
      <c r="D196" s="19" t="s">
        <v>599</v>
      </c>
      <c r="E196" s="23" t="s">
        <v>600</v>
      </c>
      <c r="H196" s="19" t="str">
        <f t="shared" si="5"/>
        <v>label var q25_1_01 "Q25_1. Help sought - A court (small claims court, District Court, High Court, Court of Appeal, Supreme Court, Europe etc)"</v>
      </c>
    </row>
    <row r="197" spans="1:8" ht="30" x14ac:dyDescent="0.2">
      <c r="A197" s="5" t="s">
        <v>601</v>
      </c>
      <c r="B197" s="9">
        <v>196</v>
      </c>
      <c r="C197" s="10" t="s">
        <v>602</v>
      </c>
      <c r="D197" s="19" t="s">
        <v>599</v>
      </c>
      <c r="E197" s="23" t="s">
        <v>603</v>
      </c>
      <c r="H197" s="19" t="str">
        <f t="shared" si="5"/>
        <v>label var q25_1_02 "Q25_1. Help sought - A tribunal (e.g. International Protection Appeals Tribunal, Workplace Relations Commission, Social Welfare Appeals Office,"</v>
      </c>
    </row>
    <row r="198" spans="1:8" x14ac:dyDescent="0.2">
      <c r="A198" s="5" t="s">
        <v>604</v>
      </c>
      <c r="B198" s="9">
        <v>197</v>
      </c>
      <c r="C198" s="10" t="s">
        <v>605</v>
      </c>
      <c r="D198" s="19" t="s">
        <v>599</v>
      </c>
      <c r="E198" s="23" t="s">
        <v>606</v>
      </c>
      <c r="H198" s="19" t="str">
        <f t="shared" si="5"/>
        <v>label var q25_1_03 "Q25_1. Help sought - An Ombudsman (e.g. Financial Services Ombudsman)"</v>
      </c>
    </row>
    <row r="199" spans="1:8" x14ac:dyDescent="0.2">
      <c r="A199" s="5" t="s">
        <v>607</v>
      </c>
      <c r="B199" s="9">
        <v>198</v>
      </c>
      <c r="C199" s="10" t="s">
        <v>608</v>
      </c>
      <c r="D199" s="19" t="s">
        <v>599</v>
      </c>
      <c r="E199" s="23" t="s">
        <v>609</v>
      </c>
      <c r="H199" s="19" t="str">
        <f t="shared" si="5"/>
        <v>label var q25_1_04 "Q25_1. Help sought - The Gardai/police (or other law-enforcement)"</v>
      </c>
    </row>
    <row r="200" spans="1:8" x14ac:dyDescent="0.2">
      <c r="A200" s="5" t="s">
        <v>610</v>
      </c>
      <c r="B200" s="9">
        <v>199</v>
      </c>
      <c r="C200" s="10" t="s">
        <v>611</v>
      </c>
      <c r="D200" s="19" t="s">
        <v>599</v>
      </c>
      <c r="E200" s="23" t="s">
        <v>612</v>
      </c>
      <c r="H200" s="19" t="str">
        <f t="shared" si="5"/>
        <v>label var q25_1_05 "Q25_1. Help sought - Family Mediation Service"</v>
      </c>
    </row>
    <row r="201" spans="1:8" ht="30" x14ac:dyDescent="0.2">
      <c r="A201" s="5" t="s">
        <v>613</v>
      </c>
      <c r="B201" s="9">
        <v>200</v>
      </c>
      <c r="C201" s="10" t="s">
        <v>614</v>
      </c>
      <c r="D201" s="19" t="s">
        <v>599</v>
      </c>
      <c r="E201" s="23" t="s">
        <v>615</v>
      </c>
      <c r="H201" s="19" t="str">
        <f t="shared" si="5"/>
        <v>label var q25_1_06 "Q25_1. Help sought - Another mediation, conciliation or other complaint or dispute resolution service (including online or commercial services)"</v>
      </c>
    </row>
    <row r="202" spans="1:8" x14ac:dyDescent="0.2">
      <c r="A202" s="5" t="s">
        <v>616</v>
      </c>
      <c r="B202" s="9">
        <v>201</v>
      </c>
      <c r="C202" s="10" t="s">
        <v>617</v>
      </c>
      <c r="D202" s="19" t="s">
        <v>599</v>
      </c>
      <c r="E202" s="23" t="s">
        <v>618</v>
      </c>
      <c r="H202" s="19" t="str">
        <f t="shared" si="5"/>
        <v>label var q25_1_07 "Q25_1. Help sought - A private solicitor or person working in a solicitor's office"</v>
      </c>
    </row>
    <row r="203" spans="1:8" x14ac:dyDescent="0.2">
      <c r="A203" s="5" t="s">
        <v>619</v>
      </c>
      <c r="B203" s="9">
        <v>202</v>
      </c>
      <c r="C203" s="10" t="s">
        <v>620</v>
      </c>
      <c r="D203" s="19" t="s">
        <v>599</v>
      </c>
      <c r="E203" s="23" t="s">
        <v>621</v>
      </c>
      <c r="H203" s="19" t="str">
        <f t="shared" si="5"/>
        <v>label var q25_1_08 "Q25_1. Help sought - A private barrister or person working in a barrister's office"</v>
      </c>
    </row>
    <row r="204" spans="1:8" x14ac:dyDescent="0.2">
      <c r="A204" s="5" t="s">
        <v>622</v>
      </c>
      <c r="B204" s="9">
        <v>203</v>
      </c>
      <c r="C204" s="10" t="s">
        <v>623</v>
      </c>
      <c r="D204" s="19" t="s">
        <v>599</v>
      </c>
      <c r="E204" s="23" t="s">
        <v>624</v>
      </c>
      <c r="H204" s="19" t="str">
        <f t="shared" si="5"/>
        <v>label var q25_1_09 "Q25_1. Help sought - A Legal Aid Board Law Centre"</v>
      </c>
    </row>
    <row r="205" spans="1:8" x14ac:dyDescent="0.2">
      <c r="A205" s="5" t="s">
        <v>625</v>
      </c>
      <c r="B205" s="9">
        <v>204</v>
      </c>
      <c r="C205" s="10" t="s">
        <v>626</v>
      </c>
      <c r="D205" s="19" t="s">
        <v>599</v>
      </c>
      <c r="E205" s="23" t="s">
        <v>627</v>
      </c>
      <c r="H205" s="19" t="str">
        <f t="shared" si="5"/>
        <v>label var q25_1_10 "Q25_1. Help sought - Another law centre such as the Free Legal Advice Centres"</v>
      </c>
    </row>
    <row r="206" spans="1:8" ht="30" x14ac:dyDescent="0.2">
      <c r="A206" s="5" t="s">
        <v>628</v>
      </c>
      <c r="B206" s="9">
        <v>205</v>
      </c>
      <c r="C206" s="10" t="s">
        <v>629</v>
      </c>
      <c r="D206" s="19" t="s">
        <v>599</v>
      </c>
      <c r="E206" s="23" t="s">
        <v>630</v>
      </c>
      <c r="H206" s="19" t="str">
        <f t="shared" si="5"/>
        <v>label var q25_1_11 "Q25_1. Help sought - A government department, local council or government agency (e.g. a Housing or Social Welfare officer)"</v>
      </c>
    </row>
    <row r="207" spans="1:8" ht="30" x14ac:dyDescent="0.2">
      <c r="A207" s="5" t="s">
        <v>631</v>
      </c>
      <c r="B207" s="9">
        <v>206</v>
      </c>
      <c r="C207" s="10" t="s">
        <v>632</v>
      </c>
      <c r="D207" s="19" t="s">
        <v>599</v>
      </c>
      <c r="E207" s="23" t="s">
        <v>633</v>
      </c>
      <c r="H207" s="19" t="str">
        <f t="shared" si="5"/>
        <v>label var q25_1_12 "Q25_1. Help sought - A non-legal professional, organisation or help line (e.g. Citizens Information Centre, Citizens Information Phone Centre,"</v>
      </c>
    </row>
    <row r="208" spans="1:8" ht="30" x14ac:dyDescent="0.2">
      <c r="A208" s="5" t="s">
        <v>634</v>
      </c>
      <c r="B208" s="9">
        <v>207</v>
      </c>
      <c r="C208" s="10" t="s">
        <v>635</v>
      </c>
      <c r="D208" s="19" t="s">
        <v>599</v>
      </c>
      <c r="E208" s="23" t="s">
        <v>636</v>
      </c>
      <c r="H208" s="19" t="str">
        <f t="shared" si="5"/>
        <v>label var q25_1_13 "Q25_1. Help sought - Other person of standing in the local community (e.g. a politician, teacher, councillor, TDs or senator)"</v>
      </c>
    </row>
    <row r="209" spans="1:8" x14ac:dyDescent="0.2">
      <c r="A209" s="5" t="s">
        <v>637</v>
      </c>
      <c r="B209" s="9">
        <v>208</v>
      </c>
      <c r="C209" s="10" t="s">
        <v>638</v>
      </c>
      <c r="D209" s="19" t="s">
        <v>599</v>
      </c>
      <c r="E209" s="23" t="s">
        <v>639</v>
      </c>
      <c r="H209" s="19" t="str">
        <f t="shared" si="5"/>
        <v>label var q25_1_14 "Q25_1. Help sought - Online search (e.g. Google)"</v>
      </c>
    </row>
    <row r="210" spans="1:8" x14ac:dyDescent="0.2">
      <c r="A210" s="5" t="s">
        <v>640</v>
      </c>
      <c r="B210" s="9">
        <v>209</v>
      </c>
      <c r="C210" s="10" t="s">
        <v>641</v>
      </c>
      <c r="D210" s="19" t="s">
        <v>599</v>
      </c>
      <c r="E210" s="23" t="s">
        <v>642</v>
      </c>
      <c r="H210" s="19" t="str">
        <f t="shared" si="5"/>
        <v>label var q25_1_15 "Q25_1. Help sought - Social media (e.g. Facebook, X, Tik Tok, Reddit, Quora, Instagram)"</v>
      </c>
    </row>
    <row r="211" spans="1:8" x14ac:dyDescent="0.2">
      <c r="A211" s="5" t="s">
        <v>643</v>
      </c>
      <c r="B211" s="9">
        <v>210</v>
      </c>
      <c r="C211" s="10" t="s">
        <v>644</v>
      </c>
      <c r="D211" s="19" t="s">
        <v>599</v>
      </c>
      <c r="E211" s="23" t="s">
        <v>645</v>
      </c>
      <c r="H211" s="19" t="str">
        <f t="shared" si="5"/>
        <v>label var q25_1_16 "Q25_1. Help sought - AI tools (e.g. ChatGPT, Gemini or other ChatBot)"</v>
      </c>
    </row>
    <row r="212" spans="1:8" x14ac:dyDescent="0.2">
      <c r="A212" s="5" t="s">
        <v>646</v>
      </c>
      <c r="B212" s="9">
        <v>211</v>
      </c>
      <c r="C212" s="10" t="s">
        <v>647</v>
      </c>
      <c r="D212" s="19" t="s">
        <v>599</v>
      </c>
      <c r="E212" s="23" t="s">
        <v>648</v>
      </c>
      <c r="H212" s="19" t="str">
        <f t="shared" si="5"/>
        <v>label var q25_1_17 "Q25_1. Help sought - Another person (e.g. a friend, family member, or acquaintance [not a professional])"</v>
      </c>
    </row>
    <row r="213" spans="1:8" x14ac:dyDescent="0.2">
      <c r="A213" s="5" t="s">
        <v>649</v>
      </c>
      <c r="B213" s="9">
        <v>212</v>
      </c>
      <c r="C213" s="10" t="s">
        <v>650</v>
      </c>
      <c r="E213" s="23" t="s">
        <v>651</v>
      </c>
      <c r="H213" s="19" t="str">
        <f t="shared" si="5"/>
        <v>label var q25_7_01 "Q25_7. How helpful were each of the following? - A court"</v>
      </c>
    </row>
    <row r="214" spans="1:8" x14ac:dyDescent="0.2">
      <c r="A214" s="5" t="s">
        <v>652</v>
      </c>
      <c r="B214" s="9">
        <v>213</v>
      </c>
      <c r="C214" s="10" t="s">
        <v>653</v>
      </c>
      <c r="E214" s="23" t="s">
        <v>654</v>
      </c>
      <c r="H214" s="19" t="str">
        <f t="shared" si="5"/>
        <v>label var q25_7_02 "Q25_7. How helpful were each of the following? - A tribunal"</v>
      </c>
    </row>
    <row r="215" spans="1:8" x14ac:dyDescent="0.2">
      <c r="A215" s="5" t="s">
        <v>655</v>
      </c>
      <c r="B215" s="9">
        <v>214</v>
      </c>
      <c r="C215" s="10" t="s">
        <v>656</v>
      </c>
      <c r="E215" s="23" t="s">
        <v>657</v>
      </c>
      <c r="H215" s="19" t="str">
        <f t="shared" si="5"/>
        <v>label var q25_7_03 "Q25_7. How helpful were each of the following? - An Ombudsman"</v>
      </c>
    </row>
    <row r="216" spans="1:8" x14ac:dyDescent="0.2">
      <c r="A216" s="5" t="s">
        <v>658</v>
      </c>
      <c r="B216" s="9">
        <v>215</v>
      </c>
      <c r="C216" s="10" t="s">
        <v>659</v>
      </c>
      <c r="E216" s="23" t="s">
        <v>660</v>
      </c>
      <c r="H216" s="19" t="str">
        <f t="shared" si="5"/>
        <v>label var q25_7_04 "Q25_7. How helpful were each of the following? - The Gardai/police"</v>
      </c>
    </row>
    <row r="217" spans="1:8" x14ac:dyDescent="0.2">
      <c r="A217" s="5" t="s">
        <v>661</v>
      </c>
      <c r="B217" s="9">
        <v>216</v>
      </c>
      <c r="C217" s="10" t="s">
        <v>662</v>
      </c>
      <c r="E217" s="23" t="s">
        <v>663</v>
      </c>
      <c r="H217" s="19" t="str">
        <f t="shared" si="5"/>
        <v>label var q25_7_05 "Q25_7. How helpful were each of the following? - Family Mediation Service"</v>
      </c>
    </row>
    <row r="218" spans="1:8" ht="30" x14ac:dyDescent="0.2">
      <c r="A218" s="5" t="s">
        <v>664</v>
      </c>
      <c r="B218" s="9">
        <v>217</v>
      </c>
      <c r="C218" s="10" t="s">
        <v>665</v>
      </c>
      <c r="E218" s="23" t="s">
        <v>666</v>
      </c>
      <c r="H218" s="19" t="str">
        <f t="shared" si="5"/>
        <v>label var q25_7_06 "Q25_7. How helpful were each of the following? - Another mediation, conciliation or other complaint or dispute resolution service"</v>
      </c>
    </row>
    <row r="219" spans="1:8" x14ac:dyDescent="0.2">
      <c r="A219" s="5" t="s">
        <v>667</v>
      </c>
      <c r="B219" s="9">
        <v>218</v>
      </c>
      <c r="C219" s="10" t="s">
        <v>668</v>
      </c>
      <c r="E219" s="23" t="s">
        <v>669</v>
      </c>
      <c r="H219" s="19" t="str">
        <f t="shared" si="5"/>
        <v>label var q25_7_07 "Q25_7. How helpful were each of the following? - A private solicitor or person working in a solicitor's office"</v>
      </c>
    </row>
    <row r="220" spans="1:8" x14ac:dyDescent="0.2">
      <c r="A220" s="5" t="s">
        <v>670</v>
      </c>
      <c r="B220" s="9">
        <v>219</v>
      </c>
      <c r="C220" s="10" t="s">
        <v>671</v>
      </c>
      <c r="E220" s="23" t="s">
        <v>672</v>
      </c>
      <c r="H220" s="19" t="str">
        <f t="shared" si="5"/>
        <v>label var q25_7_08 "Q25_7. How helpful were each of the following? - A private barrister or person working in a barrister's office"</v>
      </c>
    </row>
    <row r="221" spans="1:8" x14ac:dyDescent="0.2">
      <c r="A221" s="5" t="s">
        <v>673</v>
      </c>
      <c r="B221" s="9">
        <v>220</v>
      </c>
      <c r="C221" s="10" t="s">
        <v>674</v>
      </c>
      <c r="E221" s="23" t="s">
        <v>675</v>
      </c>
      <c r="H221" s="19" t="str">
        <f t="shared" si="5"/>
        <v>label var q25_7_09 "Q25_7. How helpful were each of the following? - A Legal Aid Board Law Centre"</v>
      </c>
    </row>
    <row r="222" spans="1:8" x14ac:dyDescent="0.2">
      <c r="A222" s="5" t="s">
        <v>676</v>
      </c>
      <c r="B222" s="9">
        <v>221</v>
      </c>
      <c r="C222" s="10" t="s">
        <v>677</v>
      </c>
      <c r="E222" s="23" t="s">
        <v>678</v>
      </c>
      <c r="H222" s="19" t="str">
        <f t="shared" si="5"/>
        <v>label var q25_7_10 "Q25_7. How helpful were each of the following? - Another law centre such as the Free Legal Advice Centres"</v>
      </c>
    </row>
    <row r="223" spans="1:8" x14ac:dyDescent="0.2">
      <c r="A223" s="5" t="s">
        <v>679</v>
      </c>
      <c r="B223" s="9">
        <v>222</v>
      </c>
      <c r="C223" s="10" t="s">
        <v>680</v>
      </c>
      <c r="E223" s="23" t="s">
        <v>681</v>
      </c>
      <c r="H223" s="19" t="str">
        <f t="shared" si="5"/>
        <v>label var q25_7_11 "Q25_7. How helpful were each of the following? - A government department, local council or government agency"</v>
      </c>
    </row>
    <row r="224" spans="1:8" x14ac:dyDescent="0.2">
      <c r="A224" s="5" t="s">
        <v>682</v>
      </c>
      <c r="B224" s="9">
        <v>223</v>
      </c>
      <c r="C224" s="10" t="s">
        <v>683</v>
      </c>
      <c r="E224" s="23" t="s">
        <v>684</v>
      </c>
      <c r="H224" s="19" t="str">
        <f t="shared" si="5"/>
        <v>label var q25_7_12 "Q25_7. How helpful were each of the following? - A non-legal professional, organisation or help line"</v>
      </c>
    </row>
    <row r="225" spans="1:8" x14ac:dyDescent="0.2">
      <c r="A225" s="5" t="s">
        <v>685</v>
      </c>
      <c r="B225" s="9">
        <v>224</v>
      </c>
      <c r="C225" s="10" t="s">
        <v>686</v>
      </c>
      <c r="E225" s="23" t="s">
        <v>687</v>
      </c>
      <c r="H225" s="19" t="str">
        <f t="shared" si="5"/>
        <v>label var q25_7_13 "Q25_7. How helpful were each of the following? - Other person of standing in the local community"</v>
      </c>
    </row>
    <row r="226" spans="1:8" x14ac:dyDescent="0.2">
      <c r="A226" s="5" t="s">
        <v>688</v>
      </c>
      <c r="B226" s="9">
        <v>225</v>
      </c>
      <c r="C226" s="10" t="s">
        <v>689</v>
      </c>
      <c r="E226" s="23" t="s">
        <v>690</v>
      </c>
      <c r="H226" s="19" t="str">
        <f t="shared" si="5"/>
        <v>label var q25_7_14 "Q25_7. How helpful were each of the following? - Online search"</v>
      </c>
    </row>
    <row r="227" spans="1:8" x14ac:dyDescent="0.2">
      <c r="A227" s="5" t="s">
        <v>691</v>
      </c>
      <c r="B227" s="9">
        <v>226</v>
      </c>
      <c r="C227" s="10" t="s">
        <v>692</v>
      </c>
      <c r="E227" s="23" t="s">
        <v>693</v>
      </c>
      <c r="H227" s="19" t="str">
        <f t="shared" si="5"/>
        <v>label var q25_7_15 "Q25_7. How helpful were each of the following? - Social media"</v>
      </c>
    </row>
    <row r="228" spans="1:8" x14ac:dyDescent="0.2">
      <c r="A228" s="5" t="s">
        <v>694</v>
      </c>
      <c r="B228" s="9">
        <v>227</v>
      </c>
      <c r="C228" s="10" t="s">
        <v>695</v>
      </c>
      <c r="E228" s="23" t="s">
        <v>696</v>
      </c>
      <c r="H228" s="19" t="str">
        <f t="shared" si="5"/>
        <v>label var q25_7_16 "Q25_7. How helpful were each of the following? - AI tools"</v>
      </c>
    </row>
    <row r="229" spans="1:8" x14ac:dyDescent="0.2">
      <c r="A229" s="5" t="s">
        <v>697</v>
      </c>
      <c r="B229" s="9">
        <v>228</v>
      </c>
      <c r="C229" s="10" t="s">
        <v>698</v>
      </c>
      <c r="E229" s="23" t="s">
        <v>699</v>
      </c>
      <c r="H229" s="19" t="str">
        <f t="shared" si="5"/>
        <v>label var q25_7_17 "Q25_7. How helpful were each of the following? - Another person"</v>
      </c>
    </row>
    <row r="230" spans="1:8" ht="30" x14ac:dyDescent="0.2">
      <c r="A230" s="5" t="s">
        <v>700</v>
      </c>
      <c r="B230" s="9">
        <v>229</v>
      </c>
      <c r="C230" s="10" t="s">
        <v>701</v>
      </c>
      <c r="E230" s="23" t="s">
        <v>702</v>
      </c>
      <c r="H230" s="19" t="str">
        <f t="shared" si="5"/>
        <v>label var q25_3_01 "Q25_3. What was the reason you didn't obtain assistance from an organisation or professional to help you better understand the issue? - There was no real disagreement or problem"</v>
      </c>
    </row>
    <row r="231" spans="1:8" ht="30" x14ac:dyDescent="0.2">
      <c r="A231" s="5" t="s">
        <v>703</v>
      </c>
      <c r="B231" s="9">
        <v>230</v>
      </c>
      <c r="C231" s="10" t="s">
        <v>704</v>
      </c>
      <c r="E231" s="23" t="s">
        <v>705</v>
      </c>
      <c r="H231" s="19" t="str">
        <f t="shared" si="5"/>
        <v>label var q25_3_02 "Q25_3. What was the reason you didn't obtain assistance from an organisation or professional to help you better understand the issue? - I felt the other person or organisation was in the right"</v>
      </c>
    </row>
    <row r="232" spans="1:8" ht="30" x14ac:dyDescent="0.2">
      <c r="A232" s="5" t="s">
        <v>706</v>
      </c>
      <c r="B232" s="9">
        <v>231</v>
      </c>
      <c r="C232" s="10" t="s">
        <v>707</v>
      </c>
      <c r="E232" s="23" t="s">
        <v>708</v>
      </c>
      <c r="H232" s="19" t="str">
        <f t="shared" si="5"/>
        <v>label var q25_3_03 "Q25_3. What was the reason you didn't obtain assistance from an organisation or professional to help you better understand the issue? - The issue resolved itself without needing help"</v>
      </c>
    </row>
    <row r="233" spans="1:8" ht="30" x14ac:dyDescent="0.2">
      <c r="A233" s="5" t="s">
        <v>709</v>
      </c>
      <c r="B233" s="9">
        <v>232</v>
      </c>
      <c r="C233" s="10" t="s">
        <v>710</v>
      </c>
      <c r="E233" s="23" t="s">
        <v>711</v>
      </c>
      <c r="H233" s="19" t="str">
        <f t="shared" si="5"/>
        <v>label var q25_3_04 "Q25_3. What was the reason you didn't obtain assistance from an organisation or professional to help you better understand the issue? - I got all the help I needed from other organisations/people"</v>
      </c>
    </row>
    <row r="234" spans="1:8" ht="30" x14ac:dyDescent="0.2">
      <c r="A234" s="5" t="s">
        <v>712</v>
      </c>
      <c r="B234" s="9">
        <v>233</v>
      </c>
      <c r="C234" s="10" t="s">
        <v>713</v>
      </c>
      <c r="E234" s="23" t="s">
        <v>714</v>
      </c>
      <c r="H234" s="19" t="str">
        <f t="shared" si="5"/>
        <v>label var q25_3_05 "Q25_3. What was the reason you didn't obtain assistance from an organisation or professional to help you better understand the issue? - I didn't feel I needed help"</v>
      </c>
    </row>
    <row r="235" spans="1:8" ht="30" x14ac:dyDescent="0.2">
      <c r="A235" s="5" t="s">
        <v>715</v>
      </c>
      <c r="B235" s="9">
        <v>234</v>
      </c>
      <c r="C235" s="10" t="s">
        <v>716</v>
      </c>
      <c r="E235" s="23" t="s">
        <v>717</v>
      </c>
      <c r="H235" s="19" t="str">
        <f t="shared" si="5"/>
        <v>label var q25_3_06 "Q25_3. What was the reason you didn't obtain assistance from an organisation or professional to help you better understand the issue? - I didn't think the issue was serious enough"</v>
      </c>
    </row>
    <row r="236" spans="1:8" ht="30" x14ac:dyDescent="0.2">
      <c r="A236" s="5" t="s">
        <v>718</v>
      </c>
      <c r="B236" s="9">
        <v>235</v>
      </c>
      <c r="C236" s="10" t="s">
        <v>719</v>
      </c>
      <c r="E236" s="23" t="s">
        <v>720</v>
      </c>
      <c r="H236" s="19" t="str">
        <f t="shared" si="5"/>
        <v>label var q25_3_07 "Q25_3. What was the reason you didn't obtain assistance from an organisation or professional to help you better understand the issue? - I was concerned about how much time it would take"</v>
      </c>
    </row>
    <row r="237" spans="1:8" ht="30" x14ac:dyDescent="0.2">
      <c r="A237" s="5" t="s">
        <v>721</v>
      </c>
      <c r="B237" s="9">
        <v>236</v>
      </c>
      <c r="C237" s="10" t="s">
        <v>722</v>
      </c>
      <c r="E237" s="23" t="s">
        <v>723</v>
      </c>
      <c r="H237" s="19" t="str">
        <f t="shared" si="5"/>
        <v>label var q25_3_08 "Q25_3. What was the reason you didn't obtain assistance from an organisation or professional to help you better understand the issue? - I was concerned about how much it would cost"</v>
      </c>
    </row>
    <row r="238" spans="1:8" ht="30" x14ac:dyDescent="0.2">
      <c r="A238" s="5" t="s">
        <v>724</v>
      </c>
      <c r="B238" s="9">
        <v>237</v>
      </c>
      <c r="C238" s="10" t="s">
        <v>725</v>
      </c>
      <c r="E238" s="23" t="s">
        <v>726</v>
      </c>
      <c r="H238" s="19" t="str">
        <f t="shared" si="5"/>
        <v>label var q25_3_09 "Q25_3. What was the reason you didn't obtain assistance from an organisation or professional to help you better understand the issue? - It was difficult to find someone nearby who could help me"</v>
      </c>
    </row>
    <row r="239" spans="1:8" ht="30" x14ac:dyDescent="0.2">
      <c r="A239" s="5" t="s">
        <v>727</v>
      </c>
      <c r="B239" s="9">
        <v>238</v>
      </c>
      <c r="C239" s="10" t="s">
        <v>728</v>
      </c>
      <c r="E239" s="23" t="s">
        <v>729</v>
      </c>
      <c r="H239" s="19" t="str">
        <f t="shared" si="5"/>
        <v>label var q25_3_10 "Q25_3. What was the reason you didn't obtain assistance from an organisation or professional to help you better understand the issue? - I thought it would be too stressful"</v>
      </c>
    </row>
    <row r="240" spans="1:8" ht="30" x14ac:dyDescent="0.2">
      <c r="A240" s="5" t="s">
        <v>730</v>
      </c>
      <c r="B240" s="9">
        <v>239</v>
      </c>
      <c r="C240" s="10" t="s">
        <v>731</v>
      </c>
      <c r="E240" s="23" t="s">
        <v>732</v>
      </c>
      <c r="H240" s="19" t="str">
        <f t="shared" si="5"/>
        <v>label var q25_3_11 "Q25_3. What was the reason you didn't obtain assistance from an organisation or professional to help you better understand the issue? - I was afraid it would damage my relationship with the other person or organisation"</v>
      </c>
    </row>
    <row r="241" spans="1:8" ht="30" x14ac:dyDescent="0.2">
      <c r="A241" s="5" t="s">
        <v>733</v>
      </c>
      <c r="B241" s="9">
        <v>240</v>
      </c>
      <c r="C241" s="10" t="s">
        <v>734</v>
      </c>
      <c r="E241" s="23" t="s">
        <v>735</v>
      </c>
      <c r="H241" s="19" t="str">
        <f t="shared" si="5"/>
        <v>label var q25_3_12 "Q25_3. What was the reason you didn't obtain assistance from an organisation or professional to help you better understand the issue? - I was scared to take action or ask for help"</v>
      </c>
    </row>
    <row r="242" spans="1:8" ht="30" x14ac:dyDescent="0.2">
      <c r="A242" s="5" t="s">
        <v>736</v>
      </c>
      <c r="B242" s="9">
        <v>241</v>
      </c>
      <c r="C242" s="10" t="s">
        <v>737</v>
      </c>
      <c r="E242" s="23" t="s">
        <v>738</v>
      </c>
      <c r="H242" s="19" t="str">
        <f t="shared" si="5"/>
        <v>label var q25_3_13 "Q25_3. What was the reason you didn't obtain assistance from an organisation or professional to help you better understand the issue? - I didn't know where or how to find information or advice"</v>
      </c>
    </row>
    <row r="243" spans="1:8" ht="30" x14ac:dyDescent="0.2">
      <c r="A243" s="5" t="s">
        <v>739</v>
      </c>
      <c r="B243" s="9">
        <v>242</v>
      </c>
      <c r="C243" s="10" t="s">
        <v>740</v>
      </c>
      <c r="E243" s="23" t="s">
        <v>741</v>
      </c>
      <c r="H243" s="19" t="str">
        <f t="shared" si="5"/>
        <v>label var q25_3_14 "Q25_3. What was the reason you didn't obtain assistance from an organisation or professional to help you better understand the issue? - I didn't think it would change the outcome"</v>
      </c>
    </row>
    <row r="244" spans="1:8" ht="30" x14ac:dyDescent="0.2">
      <c r="A244" s="5" t="s">
        <v>742</v>
      </c>
      <c r="B244" s="9">
        <v>243</v>
      </c>
      <c r="C244" s="10" t="s">
        <v>743</v>
      </c>
      <c r="E244" s="23" t="s">
        <v>744</v>
      </c>
      <c r="H244" s="19" t="str">
        <f t="shared" si="5"/>
        <v>label var q25_3_15 "Q25_3. What was the reason you didn't obtain assistance from an organisation or professional to help you better understand the issue? - I had tried seeking help before and it wasn't helpful"</v>
      </c>
    </row>
    <row r="245" spans="1:8" ht="30" x14ac:dyDescent="0.2">
      <c r="A245" s="5" t="s">
        <v>745</v>
      </c>
      <c r="B245" s="9">
        <v>244</v>
      </c>
      <c r="C245" s="10" t="s">
        <v>746</v>
      </c>
      <c r="E245" s="23" t="s">
        <v>747</v>
      </c>
      <c r="H245" s="19" t="str">
        <f t="shared" si="5"/>
        <v>label var q25_3_16 "Q25_3. What was the reason you didn't obtain assistance from an organisation or professional to help you better understand the issue? - Someone told me not to get advice or information"</v>
      </c>
    </row>
    <row r="246" spans="1:8" ht="30" x14ac:dyDescent="0.2">
      <c r="A246" s="5" t="s">
        <v>748</v>
      </c>
      <c r="B246" s="9">
        <v>245</v>
      </c>
      <c r="C246" s="10" t="s">
        <v>749</v>
      </c>
      <c r="E246" s="23" t="s">
        <v>750</v>
      </c>
      <c r="H246" s="19" t="str">
        <f t="shared" si="5"/>
        <v>label var q25_3_17 "Q25_3. What was the reason you didn't obtain assistance from an organisation or professional to help you better understand the issue? - Other reason, please specify:"</v>
      </c>
    </row>
    <row r="247" spans="1:8" ht="30" x14ac:dyDescent="0.2">
      <c r="A247" s="5" t="s">
        <v>751</v>
      </c>
      <c r="B247" s="9">
        <v>246</v>
      </c>
      <c r="C247" s="10" t="s">
        <v>752</v>
      </c>
      <c r="E247" s="23" t="s">
        <v>753</v>
      </c>
      <c r="H247" s="19" t="str">
        <f t="shared" si="5"/>
        <v>label var q25_3_18 "Q25_3. What was the reason you didn't obtain assistance from an organisation or professional to help you better understand the issue? - Don't know"</v>
      </c>
    </row>
    <row r="248" spans="1:8" ht="30" x14ac:dyDescent="0.2">
      <c r="A248" s="5" t="s">
        <v>754</v>
      </c>
      <c r="B248" s="9">
        <v>247</v>
      </c>
      <c r="C248" s="10" t="s">
        <v>755</v>
      </c>
      <c r="E248" s="23" t="s">
        <v>756</v>
      </c>
      <c r="H248" s="19" t="str">
        <f t="shared" si="5"/>
        <v>label var q25_3_19 "Q25_3. What was the reason you didn't obtain assistance from an organisation or professional to help you better understand the issue? - Prefer not to say"</v>
      </c>
    </row>
    <row r="249" spans="1:8" ht="30" x14ac:dyDescent="0.2">
      <c r="A249" s="5" t="s">
        <v>757</v>
      </c>
      <c r="B249" s="9">
        <v>248</v>
      </c>
      <c r="C249" s="10" t="s">
        <v>758</v>
      </c>
      <c r="E249" s="19" t="s">
        <v>759</v>
      </c>
      <c r="H249" s="19" t="str">
        <f t="shared" si="5"/>
        <v>label var q25_5 "Q25_5. Just to check, have you done / did you do anything, or do you expect to do anything to resolve or end this issue, such as talking to the other party?"</v>
      </c>
    </row>
    <row r="250" spans="1:8" ht="30" x14ac:dyDescent="0.2">
      <c r="A250" s="5" t="s">
        <v>760</v>
      </c>
      <c r="B250" s="9">
        <v>249</v>
      </c>
      <c r="C250" s="10" t="s">
        <v>761</v>
      </c>
      <c r="D250" s="19" t="s">
        <v>762</v>
      </c>
      <c r="E250" s="23" t="s">
        <v>763</v>
      </c>
      <c r="H250" s="19" t="str">
        <f t="shared" si="5"/>
        <v>label var q25_6_01 "Q25_6. For which of the following reasons, if any, haven't you done / didn't you do anything to try to resolve the issue? - It wasn't very important"</v>
      </c>
    </row>
    <row r="251" spans="1:8" ht="30" x14ac:dyDescent="0.2">
      <c r="A251" s="5" t="s">
        <v>764</v>
      </c>
      <c r="B251" s="9">
        <v>250</v>
      </c>
      <c r="C251" s="10" t="s">
        <v>765</v>
      </c>
      <c r="D251" s="19" t="s">
        <v>762</v>
      </c>
      <c r="E251" s="23" t="s">
        <v>766</v>
      </c>
      <c r="H251" s="19" t="str">
        <f t="shared" si="5"/>
        <v>label var q25_6_02 "Q25_6. For which of the following reasons, if any, haven't you done / didn't you do anything to try to resolve the issue? - It was resolved quickly"</v>
      </c>
    </row>
    <row r="252" spans="1:8" ht="30" x14ac:dyDescent="0.2">
      <c r="A252" s="5" t="s">
        <v>767</v>
      </c>
      <c r="B252" s="9">
        <v>251</v>
      </c>
      <c r="C252" s="10" t="s">
        <v>768</v>
      </c>
      <c r="D252" s="19" t="s">
        <v>762</v>
      </c>
      <c r="E252" s="23" t="s">
        <v>769</v>
      </c>
      <c r="H252" s="19" t="str">
        <f t="shared" si="5"/>
        <v>label var q25_6_03 "Q25_6. For which of the following reasons, if any, haven't you done / didn't you do anything to try to resolve the issue? - It would take too long"</v>
      </c>
    </row>
    <row r="253" spans="1:8" ht="30" x14ac:dyDescent="0.2">
      <c r="A253" s="5" t="s">
        <v>770</v>
      </c>
      <c r="B253" s="9">
        <v>252</v>
      </c>
      <c r="C253" s="10" t="s">
        <v>771</v>
      </c>
      <c r="D253" s="19" t="s">
        <v>762</v>
      </c>
      <c r="E253" s="23" t="s">
        <v>772</v>
      </c>
      <c r="H253" s="19" t="str">
        <f t="shared" si="5"/>
        <v>label var q25_6_04 "Q25_6. For which of the following reasons, if any, haven't you done / didn't you do anything to try to resolve the issue? - It would be too stressful"</v>
      </c>
    </row>
    <row r="254" spans="1:8" ht="30" x14ac:dyDescent="0.2">
      <c r="A254" s="5" t="s">
        <v>773</v>
      </c>
      <c r="B254" s="9">
        <v>253</v>
      </c>
      <c r="C254" s="10" t="s">
        <v>774</v>
      </c>
      <c r="D254" s="19" t="s">
        <v>762</v>
      </c>
      <c r="E254" s="23" t="s">
        <v>775</v>
      </c>
      <c r="H254" s="19" t="str">
        <f t="shared" si="5"/>
        <v>label var q25_6_05 "Q25_6. For which of the following reasons, if any, haven't you done / didn't you do anything to try to resolve the issue? - It would cost too much"</v>
      </c>
    </row>
    <row r="255" spans="1:8" ht="30" x14ac:dyDescent="0.2">
      <c r="A255" s="5" t="s">
        <v>776</v>
      </c>
      <c r="B255" s="9">
        <v>254</v>
      </c>
      <c r="C255" s="10" t="s">
        <v>777</v>
      </c>
      <c r="D255" s="19" t="s">
        <v>762</v>
      </c>
      <c r="E255" s="23" t="s">
        <v>778</v>
      </c>
      <c r="H255" s="19" t="str">
        <f t="shared" si="5"/>
        <v>label var q25_6_06 "Q25_6. For which of the following reasons, if any, haven't you done / didn't you do anything to try to resolve the issue? - It would damage the relationship with the other side"</v>
      </c>
    </row>
    <row r="256" spans="1:8" ht="30" x14ac:dyDescent="0.2">
      <c r="A256" s="5" t="s">
        <v>779</v>
      </c>
      <c r="B256" s="9">
        <v>255</v>
      </c>
      <c r="C256" s="10" t="s">
        <v>780</v>
      </c>
      <c r="D256" s="19" t="s">
        <v>762</v>
      </c>
      <c r="E256" s="23" t="s">
        <v>781</v>
      </c>
      <c r="H256" s="19" t="str">
        <f t="shared" si="5"/>
        <v>label var q25_6_07 "Q25_6. For which of the following reasons, if any, haven't you done / didn't you do anything to try to resolve the issue? - It would make you uncomfortable/ you were too ashamed or embarrassed to ask for help"</v>
      </c>
    </row>
    <row r="257" spans="1:8" ht="30" x14ac:dyDescent="0.2">
      <c r="A257" s="5" t="s">
        <v>782</v>
      </c>
      <c r="B257" s="9">
        <v>256</v>
      </c>
      <c r="C257" s="10" t="s">
        <v>783</v>
      </c>
      <c r="D257" s="19" t="s">
        <v>762</v>
      </c>
      <c r="E257" s="23" t="s">
        <v>784</v>
      </c>
      <c r="H257" s="19" t="str">
        <f t="shared" si="5"/>
        <v>label var q25_6_08 "Q25_6. For which of the following reasons, if any, haven't you done / didn't you do anything to try to resolve the issue? - It would make no difference"</v>
      </c>
    </row>
    <row r="258" spans="1:8" ht="30" x14ac:dyDescent="0.2">
      <c r="A258" s="5" t="s">
        <v>785</v>
      </c>
      <c r="B258" s="9">
        <v>257</v>
      </c>
      <c r="C258" s="10" t="s">
        <v>786</v>
      </c>
      <c r="D258" s="19" t="s">
        <v>762</v>
      </c>
      <c r="E258" s="23" t="s">
        <v>787</v>
      </c>
      <c r="H258" s="19" t="str">
        <f t="shared" si="5"/>
        <v>label var q25_6_09 "Q25_6. For which of the following reasons, if any, haven't you done / didn't you do anything to try to resolve the issue? - You had bigger issues"</v>
      </c>
    </row>
    <row r="259" spans="1:8" ht="30" x14ac:dyDescent="0.2">
      <c r="A259" s="5" t="s">
        <v>788</v>
      </c>
      <c r="B259" s="9">
        <v>258</v>
      </c>
      <c r="C259" s="10" t="s">
        <v>789</v>
      </c>
      <c r="D259" s="19" t="s">
        <v>762</v>
      </c>
      <c r="E259" s="23" t="s">
        <v>790</v>
      </c>
      <c r="H259" s="19" t="str">
        <f t="shared" ref="H259:H322" si="6">_xlfn.CONCAT("label var ",A259," ",$H$1,C259,$H$1)</f>
        <v>label var q25_6_10 "Q25_6. For which of the following reasons, if any, haven't you done / didn't you do anything to try to resolve the issue? - You were at fault or there was no dispute"</v>
      </c>
    </row>
    <row r="260" spans="1:8" ht="30" x14ac:dyDescent="0.2">
      <c r="A260" s="5" t="s">
        <v>791</v>
      </c>
      <c r="B260" s="9">
        <v>259</v>
      </c>
      <c r="C260" s="10" t="s">
        <v>792</v>
      </c>
      <c r="D260" s="19" t="s">
        <v>762</v>
      </c>
      <c r="E260" s="23" t="s">
        <v>793</v>
      </c>
      <c r="H260" s="19" t="str">
        <f t="shared" si="6"/>
        <v>label var q25_6_11 "Q25_6. For which of the following reasons, if any, haven't you done / didn't you do anything to try to resolve the issue? - You didn't know what to do"</v>
      </c>
    </row>
    <row r="261" spans="1:8" ht="30" x14ac:dyDescent="0.2">
      <c r="A261" s="5" t="s">
        <v>794</v>
      </c>
      <c r="B261" s="9">
        <v>260</v>
      </c>
      <c r="C261" s="10" t="s">
        <v>795</v>
      </c>
      <c r="D261" s="19" t="s">
        <v>762</v>
      </c>
      <c r="E261" s="23" t="s">
        <v>796</v>
      </c>
      <c r="H261" s="19" t="str">
        <f t="shared" si="6"/>
        <v>label var q25_6_12 "Q25_6. For which of the following reasons, if any, haven't you done / didn't you do anything to try to resolve the issue? - You didn't need information or advice"</v>
      </c>
    </row>
    <row r="262" spans="1:8" ht="30" x14ac:dyDescent="0.2">
      <c r="A262" s="5" t="s">
        <v>797</v>
      </c>
      <c r="B262" s="9">
        <v>261</v>
      </c>
      <c r="C262" s="10" t="s">
        <v>798</v>
      </c>
      <c r="D262" s="19" t="s">
        <v>762</v>
      </c>
      <c r="E262" s="23" t="s">
        <v>799</v>
      </c>
      <c r="H262" s="19" t="str">
        <f t="shared" si="6"/>
        <v>label var q25_6_13 "Q25_6. For which of the following reasons, if any, haven't you done / didn't you do anything to try to resolve the issue? - Other reason (please specify)"</v>
      </c>
    </row>
    <row r="263" spans="1:8" ht="30" x14ac:dyDescent="0.2">
      <c r="A263" s="5" t="s">
        <v>800</v>
      </c>
      <c r="B263" s="9">
        <v>262</v>
      </c>
      <c r="C263" s="10" t="s">
        <v>801</v>
      </c>
      <c r="D263" s="19" t="s">
        <v>802</v>
      </c>
      <c r="E263" s="23" t="s">
        <v>803</v>
      </c>
      <c r="H263" s="19" t="str">
        <f t="shared" si="6"/>
        <v>label var q26_01 "Q26. Issue resolved - A court (small claims court, District Circuit, High Court, Court of Appeal, Supreme Court, Europe etc)"</v>
      </c>
    </row>
    <row r="264" spans="1:8" ht="30" x14ac:dyDescent="0.2">
      <c r="A264" s="5" t="s">
        <v>804</v>
      </c>
      <c r="B264" s="9">
        <v>263</v>
      </c>
      <c r="C264" s="10" t="s">
        <v>805</v>
      </c>
      <c r="D264" s="19" t="s">
        <v>802</v>
      </c>
      <c r="E264" s="23" t="s">
        <v>806</v>
      </c>
      <c r="H264" s="19" t="str">
        <f t="shared" si="6"/>
        <v>label var q26_02 "Q26. Issue resolved - A tribunal (e.g. international protection appeals tribunal - IPAT, Workplace Relations Commission, Social Welfare Appeals Office,"</v>
      </c>
    </row>
    <row r="265" spans="1:8" x14ac:dyDescent="0.2">
      <c r="A265" s="5" t="s">
        <v>807</v>
      </c>
      <c r="B265" s="9">
        <v>264</v>
      </c>
      <c r="C265" s="10" t="s">
        <v>808</v>
      </c>
      <c r="D265" s="19" t="s">
        <v>802</v>
      </c>
      <c r="E265" s="23" t="s">
        <v>809</v>
      </c>
      <c r="H265" s="19" t="str">
        <f t="shared" si="6"/>
        <v>label var q26_03 "Q26. Issue resolved - An Ombudsman (e.g. Financial Services Ombudsman)"</v>
      </c>
    </row>
    <row r="266" spans="1:8" x14ac:dyDescent="0.2">
      <c r="A266" s="5" t="s">
        <v>810</v>
      </c>
      <c r="B266" s="9">
        <v>265</v>
      </c>
      <c r="C266" s="10" t="s">
        <v>811</v>
      </c>
      <c r="D266" s="19" t="s">
        <v>802</v>
      </c>
      <c r="E266" s="23" t="s">
        <v>812</v>
      </c>
      <c r="H266" s="19" t="str">
        <f t="shared" si="6"/>
        <v>label var q26_04 "Q26. Issue resolved - The Gardai/police (or other law-enforcement)"</v>
      </c>
    </row>
    <row r="267" spans="1:8" ht="30" x14ac:dyDescent="0.2">
      <c r="A267" s="5" t="s">
        <v>813</v>
      </c>
      <c r="B267" s="9">
        <v>266</v>
      </c>
      <c r="C267" s="10" t="s">
        <v>814</v>
      </c>
      <c r="D267" s="19" t="s">
        <v>802</v>
      </c>
      <c r="E267" s="23" t="s">
        <v>815</v>
      </c>
      <c r="H267" s="19" t="str">
        <f t="shared" si="6"/>
        <v>label var q26_05 "Q26. Issue resolved - A formal mediation, conciliation or other complaint or dispute resolution service (including Family Mediation Service)"</v>
      </c>
    </row>
    <row r="268" spans="1:8" x14ac:dyDescent="0.2">
      <c r="A268" s="5" t="s">
        <v>816</v>
      </c>
      <c r="B268" s="9">
        <v>267</v>
      </c>
      <c r="C268" s="10" t="s">
        <v>817</v>
      </c>
      <c r="D268" s="19" t="s">
        <v>802</v>
      </c>
      <c r="E268" s="23" t="s">
        <v>818</v>
      </c>
      <c r="H268" s="19" t="str">
        <f t="shared" si="6"/>
        <v>label var q26_06 "Q26. Issue resolved - A lawyer, or person working in a lawyer's office"</v>
      </c>
    </row>
    <row r="269" spans="1:8" ht="30" x14ac:dyDescent="0.2">
      <c r="A269" s="5" t="s">
        <v>819</v>
      </c>
      <c r="B269" s="9">
        <v>268</v>
      </c>
      <c r="C269" s="10" t="s">
        <v>820</v>
      </c>
      <c r="D269" s="19" t="s">
        <v>802</v>
      </c>
      <c r="E269" s="23" t="s">
        <v>821</v>
      </c>
      <c r="H269" s="19" t="str">
        <f t="shared" si="6"/>
        <v>label var q26_07 "Q26. Issue resolved - A government department, local council or government agency or a person within them appointed to make decisions (e.g. a Housing or Social Welfare officer)"</v>
      </c>
    </row>
    <row r="270" spans="1:8" ht="30" x14ac:dyDescent="0.2">
      <c r="A270" s="5" t="s">
        <v>822</v>
      </c>
      <c r="B270" s="9">
        <v>269</v>
      </c>
      <c r="C270" s="10" t="s">
        <v>823</v>
      </c>
      <c r="D270" s="19" t="s">
        <v>802</v>
      </c>
      <c r="E270" s="23" t="s">
        <v>824</v>
      </c>
      <c r="H270" s="19" t="str">
        <f t="shared" si="6"/>
        <v>label var q26_08 "Q26. Issue resolved - A community leader, or other person of standing (e.g. a politician, teacher, councillor, TDs or senator, or priest)"</v>
      </c>
    </row>
    <row r="271" spans="1:8" x14ac:dyDescent="0.2">
      <c r="A271" s="5" t="s">
        <v>825</v>
      </c>
      <c r="B271" s="9">
        <v>270</v>
      </c>
      <c r="C271" s="10" t="s">
        <v>826</v>
      </c>
      <c r="D271" s="19" t="s">
        <v>802</v>
      </c>
      <c r="E271" s="23" t="s">
        <v>827</v>
      </c>
      <c r="H271" s="19" t="str">
        <f t="shared" si="6"/>
        <v>label var q26_09 "Q26. Issue resolved - Other dispute resolution service, including online and commercial services"</v>
      </c>
    </row>
    <row r="272" spans="1:8" x14ac:dyDescent="0.2">
      <c r="A272" s="5" t="s">
        <v>828</v>
      </c>
      <c r="B272" s="9">
        <v>271</v>
      </c>
      <c r="C272" s="10" t="s">
        <v>829</v>
      </c>
      <c r="D272" s="19" t="s">
        <v>802</v>
      </c>
      <c r="E272" s="23" t="s">
        <v>830</v>
      </c>
      <c r="H272" s="19" t="str">
        <f t="shared" si="6"/>
        <v>label var q26_10 "Q26. Issue resolved - Other person (e.g. a friend, family member, or acquaintance not in a professional capacity)"</v>
      </c>
    </row>
    <row r="273" spans="1:8" x14ac:dyDescent="0.2">
      <c r="A273" s="5" t="s">
        <v>831</v>
      </c>
      <c r="B273" s="9">
        <v>272</v>
      </c>
      <c r="C273" s="10" t="s">
        <v>832</v>
      </c>
      <c r="D273" s="19" t="s">
        <v>802</v>
      </c>
      <c r="E273" s="23" t="s">
        <v>833</v>
      </c>
      <c r="H273" s="19" t="str">
        <f t="shared" si="6"/>
        <v>label var q26_11 "Q26. Issue resolved - Other professional or organisation"</v>
      </c>
    </row>
    <row r="274" spans="1:8" ht="30" x14ac:dyDescent="0.2">
      <c r="A274" s="5" t="s">
        <v>834</v>
      </c>
      <c r="B274" s="9">
        <v>273</v>
      </c>
      <c r="C274" s="10" t="s">
        <v>835</v>
      </c>
      <c r="D274" s="19" t="s">
        <v>836</v>
      </c>
      <c r="E274" s="23" t="s">
        <v>837</v>
      </c>
      <c r="H274" s="19" t="str">
        <f t="shared" si="6"/>
        <v>label var q27_01 "Q27. What was the reason you have not turned / did not turn to a professional or organisation to resolve the issue? - The issue is/was not important enough"</v>
      </c>
    </row>
    <row r="275" spans="1:8" ht="30" x14ac:dyDescent="0.2">
      <c r="A275" s="5" t="s">
        <v>838</v>
      </c>
      <c r="B275" s="9">
        <v>274</v>
      </c>
      <c r="C275" s="10" t="s">
        <v>839</v>
      </c>
      <c r="D275" s="19" t="s">
        <v>836</v>
      </c>
      <c r="E275" s="23" t="s">
        <v>840</v>
      </c>
      <c r="H275" s="19" t="str">
        <f t="shared" si="6"/>
        <v>label var q27_02 "Q27. What was the reason you have not turned / did not turn to a professional or organisation to resolve the issue? - The issue resolved so I didn't need to"</v>
      </c>
    </row>
    <row r="276" spans="1:8" ht="30" x14ac:dyDescent="0.2">
      <c r="A276" s="5" t="s">
        <v>841</v>
      </c>
      <c r="B276" s="9">
        <v>275</v>
      </c>
      <c r="C276" s="10" t="s">
        <v>842</v>
      </c>
      <c r="D276" s="19" t="s">
        <v>836</v>
      </c>
      <c r="E276" s="23" t="s">
        <v>843</v>
      </c>
      <c r="H276" s="19" t="str">
        <f t="shared" si="6"/>
        <v>label var q27_03 "Q27. What was the reason you have not turned / did not turn to a professional or organisation to resolve the issue? - I was/am confident that I could/can easily resolve it by myself"</v>
      </c>
    </row>
    <row r="277" spans="1:8" ht="30" x14ac:dyDescent="0.2">
      <c r="A277" s="5" t="s">
        <v>844</v>
      </c>
      <c r="B277" s="9">
        <v>276</v>
      </c>
      <c r="C277" s="10" t="s">
        <v>845</v>
      </c>
      <c r="D277" s="19" t="s">
        <v>836</v>
      </c>
      <c r="E277" s="23" t="s">
        <v>846</v>
      </c>
      <c r="H277" s="19" t="str">
        <f t="shared" si="6"/>
        <v>label var q27_04 "Q27. What was the reason you have not turned / did not turn to a professional or organisation to resolve the issue? - I was/am confident that I could/can easily resolve it with the help I got/am getting"</v>
      </c>
    </row>
    <row r="278" spans="1:8" ht="30" x14ac:dyDescent="0.2">
      <c r="A278" s="5" t="s">
        <v>847</v>
      </c>
      <c r="B278" s="9">
        <v>277</v>
      </c>
      <c r="C278" s="10" t="s">
        <v>848</v>
      </c>
      <c r="D278" s="19" t="s">
        <v>836</v>
      </c>
      <c r="E278" s="23" t="s">
        <v>849</v>
      </c>
      <c r="H278" s="19" t="str">
        <f t="shared" si="6"/>
        <v>label var q27_05 "Q27. What was the reason you have not turned / did not turn to a professional or organisation to resolve the issue? - Up to the other party to take this action"</v>
      </c>
    </row>
    <row r="279" spans="1:8" ht="30" x14ac:dyDescent="0.2">
      <c r="A279" s="5" t="s">
        <v>850</v>
      </c>
      <c r="B279" s="9">
        <v>278</v>
      </c>
      <c r="C279" s="10" t="s">
        <v>851</v>
      </c>
      <c r="D279" s="19" t="s">
        <v>836</v>
      </c>
      <c r="E279" s="23" t="s">
        <v>852</v>
      </c>
      <c r="H279" s="19" t="str">
        <f t="shared" si="6"/>
        <v>label var q27_06 "Q27. What was the reason you have not turned / did not turn to a professional or organisation to resolve the issue? - I caused the issue"</v>
      </c>
    </row>
    <row r="280" spans="1:8" ht="30" x14ac:dyDescent="0.2">
      <c r="A280" s="5" t="s">
        <v>853</v>
      </c>
      <c r="B280" s="9">
        <v>279</v>
      </c>
      <c r="C280" s="10" t="s">
        <v>854</v>
      </c>
      <c r="D280" s="19" t="s">
        <v>836</v>
      </c>
      <c r="E280" s="23" t="s">
        <v>855</v>
      </c>
      <c r="H280" s="19" t="str">
        <f t="shared" si="6"/>
        <v>label var q27_07 "Q27. What was the reason you have not turned / did not turn to a professional or organisation to resolve the issue? - I did not know where to go"</v>
      </c>
    </row>
    <row r="281" spans="1:8" ht="30" x14ac:dyDescent="0.2">
      <c r="A281" s="5" t="s">
        <v>856</v>
      </c>
      <c r="B281" s="9">
        <v>280</v>
      </c>
      <c r="C281" s="10" t="s">
        <v>857</v>
      </c>
      <c r="D281" s="19" t="s">
        <v>836</v>
      </c>
      <c r="E281" s="23" t="s">
        <v>858</v>
      </c>
      <c r="H281" s="19" t="str">
        <f t="shared" si="6"/>
        <v>label var q27_08 "Q27. What was the reason you have not turned / did not turn to a professional or organisation to resolve the issue? - I could not obtain legal assistance"</v>
      </c>
    </row>
    <row r="282" spans="1:8" ht="30" x14ac:dyDescent="0.2">
      <c r="A282" s="5" t="s">
        <v>859</v>
      </c>
      <c r="B282" s="9">
        <v>281</v>
      </c>
      <c r="C282" s="10" t="s">
        <v>860</v>
      </c>
      <c r="D282" s="19" t="s">
        <v>836</v>
      </c>
      <c r="E282" s="23" t="s">
        <v>861</v>
      </c>
      <c r="H282" s="19" t="str">
        <f t="shared" si="6"/>
        <v>label var q27_09 "Q27. What was the reason you have not turned / did not turn to a professional or organisation to resolve the issue? - It was too expensive / I was fearful of what it could cost"</v>
      </c>
    </row>
    <row r="283" spans="1:8" ht="30" x14ac:dyDescent="0.2">
      <c r="A283" s="5" t="s">
        <v>862</v>
      </c>
      <c r="B283" s="9">
        <v>282</v>
      </c>
      <c r="C283" s="10" t="s">
        <v>863</v>
      </c>
      <c r="D283" s="19" t="s">
        <v>836</v>
      </c>
      <c r="E283" s="23" t="s">
        <v>864</v>
      </c>
      <c r="H283" s="19" t="str">
        <f t="shared" si="6"/>
        <v>label var q27_10 "Q27. What was the reason you have not turned / did not turn to a professional or organisation to resolve the issue? - It was too far away or hard to reach"</v>
      </c>
    </row>
    <row r="284" spans="1:8" ht="30" x14ac:dyDescent="0.2">
      <c r="A284" s="5" t="s">
        <v>865</v>
      </c>
      <c r="B284" s="9">
        <v>283</v>
      </c>
      <c r="C284" s="10" t="s">
        <v>866</v>
      </c>
      <c r="D284" s="19" t="s">
        <v>836</v>
      </c>
      <c r="E284" s="23" t="s">
        <v>867</v>
      </c>
      <c r="H284" s="19" t="str">
        <f t="shared" si="6"/>
        <v>label var q27_11 "Q27. What was the reason you have not turned / did not turn to a professional or organisation to resolve the issue? - It was too inconvenient"</v>
      </c>
    </row>
    <row r="285" spans="1:8" ht="30" x14ac:dyDescent="0.2">
      <c r="A285" s="5" t="s">
        <v>868</v>
      </c>
      <c r="B285" s="9">
        <v>284</v>
      </c>
      <c r="C285" s="10" t="s">
        <v>869</v>
      </c>
      <c r="D285" s="19" t="s">
        <v>836</v>
      </c>
      <c r="E285" s="23" t="s">
        <v>870</v>
      </c>
      <c r="H285" s="19" t="str">
        <f t="shared" si="6"/>
        <v>label var q27_12 "Q27. What was the reason you have not turned / did not turn to a professional or organisation to resolve the issue? - I did not trust the authorities"</v>
      </c>
    </row>
    <row r="286" spans="1:8" ht="30" x14ac:dyDescent="0.2">
      <c r="A286" s="5" t="s">
        <v>871</v>
      </c>
      <c r="B286" s="9">
        <v>285</v>
      </c>
      <c r="C286" s="10" t="s">
        <v>872</v>
      </c>
      <c r="D286" s="19" t="s">
        <v>836</v>
      </c>
      <c r="E286" s="23" t="s">
        <v>873</v>
      </c>
      <c r="H286" s="19" t="str">
        <f t="shared" si="6"/>
        <v>label var q27_13 "Q27. What was the reason you have not turned / did not turn to a professional or organisation to resolve the issue? - I did not think they could help"</v>
      </c>
    </row>
    <row r="287" spans="1:8" ht="30" x14ac:dyDescent="0.2">
      <c r="A287" s="5" t="s">
        <v>874</v>
      </c>
      <c r="B287" s="9">
        <v>286</v>
      </c>
      <c r="C287" s="10" t="s">
        <v>875</v>
      </c>
      <c r="D287" s="19" t="s">
        <v>836</v>
      </c>
      <c r="E287" s="23" t="s">
        <v>876</v>
      </c>
      <c r="H287" s="19" t="str">
        <f t="shared" si="6"/>
        <v>label var q27_14 "Q27. What was the reason you have not turned / did not turn to a professional or organisation to resolve the issue? - I was afraid of the consequences for me/my family"</v>
      </c>
    </row>
    <row r="288" spans="1:8" ht="30" x14ac:dyDescent="0.2">
      <c r="A288" s="5" t="s">
        <v>877</v>
      </c>
      <c r="B288" s="9">
        <v>287</v>
      </c>
      <c r="C288" s="10" t="s">
        <v>878</v>
      </c>
      <c r="D288" s="19" t="s">
        <v>836</v>
      </c>
      <c r="E288" s="23" t="s">
        <v>879</v>
      </c>
      <c r="H288" s="19" t="str">
        <f t="shared" si="6"/>
        <v>label var q27_15 "Q27. What was the reason you have not turned / did not turn to a professional or organisation to resolve the issue? - I did not know it was possible to turn somewhere to resolve the issue"</v>
      </c>
    </row>
    <row r="289" spans="1:8" ht="30" x14ac:dyDescent="0.2">
      <c r="A289" s="5" t="s">
        <v>880</v>
      </c>
      <c r="B289" s="9">
        <v>288</v>
      </c>
      <c r="C289" s="10" t="s">
        <v>881</v>
      </c>
      <c r="D289" s="19" t="s">
        <v>836</v>
      </c>
      <c r="E289" s="23" t="s">
        <v>882</v>
      </c>
      <c r="H289" s="19" t="str">
        <f t="shared" si="6"/>
        <v>label var q27_16 "Q27. What was the reason you have not turned / did not turn to a professional or organisation to resolve the issue? - Other reason:"</v>
      </c>
    </row>
    <row r="290" spans="1:8" ht="30" x14ac:dyDescent="0.2">
      <c r="A290" s="5" t="s">
        <v>883</v>
      </c>
      <c r="B290" s="9">
        <v>289</v>
      </c>
      <c r="C290" s="10" t="s">
        <v>884</v>
      </c>
      <c r="D290" s="19" t="s">
        <v>836</v>
      </c>
      <c r="E290" s="23" t="s">
        <v>885</v>
      </c>
      <c r="H290" s="19" t="str">
        <f t="shared" si="6"/>
        <v>label var q27_17 "Q27. What was the reason you have not turned / did not turn to a professional or organisation to resolve the issue? - Don't know"</v>
      </c>
    </row>
    <row r="291" spans="1:8" ht="30" x14ac:dyDescent="0.2">
      <c r="A291" s="5" t="s">
        <v>886</v>
      </c>
      <c r="B291" s="9">
        <v>290</v>
      </c>
      <c r="C291" s="10" t="s">
        <v>887</v>
      </c>
      <c r="D291" s="19" t="s">
        <v>836</v>
      </c>
      <c r="E291" s="23" t="s">
        <v>888</v>
      </c>
      <c r="H291" s="19" t="str">
        <f t="shared" si="6"/>
        <v>label var q27_18 "Q27. What was the reason you have not turned / did not turn to a professional or organisation to resolve the issue? - Prefer not to say"</v>
      </c>
    </row>
    <row r="292" spans="1:8" x14ac:dyDescent="0.2">
      <c r="A292" s="5" t="s">
        <v>889</v>
      </c>
      <c r="B292" s="9">
        <v>291</v>
      </c>
      <c r="C292" s="10" t="s">
        <v>890</v>
      </c>
      <c r="E292" s="23" t="s">
        <v>891</v>
      </c>
      <c r="H292" s="19" t="str">
        <f t="shared" si="6"/>
        <v>label var q29_1_it01_a "Q29_1_iter01_a. Agree or Disagree - A court - Both parties had the same opportunity to explain their position"</v>
      </c>
    </row>
    <row r="293" spans="1:8" x14ac:dyDescent="0.2">
      <c r="A293" s="5" t="s">
        <v>892</v>
      </c>
      <c r="B293" s="9">
        <v>292</v>
      </c>
      <c r="C293" s="10" t="s">
        <v>893</v>
      </c>
      <c r="E293" s="23" t="s">
        <v>894</v>
      </c>
      <c r="H293" s="19" t="str">
        <f t="shared" si="6"/>
        <v>label var q29_1_it01_b "Q29_1_iter01_b. Agree or Disagree - A court - The justification for the decision/outcome was clearly explained to me"</v>
      </c>
    </row>
    <row r="294" spans="1:8" x14ac:dyDescent="0.2">
      <c r="A294" s="5" t="s">
        <v>895</v>
      </c>
      <c r="B294" s="9">
        <v>293</v>
      </c>
      <c r="C294" s="10" t="s">
        <v>896</v>
      </c>
      <c r="E294" s="23" t="s">
        <v>897</v>
      </c>
      <c r="H294" s="19" t="str">
        <f t="shared" si="6"/>
        <v>label var q29_1_it01_c "Q29_1_iter01_c. Agree or Disagree - A court - The process was efficient"</v>
      </c>
    </row>
    <row r="295" spans="1:8" x14ac:dyDescent="0.2">
      <c r="A295" s="5" t="s">
        <v>898</v>
      </c>
      <c r="B295" s="9">
        <v>294</v>
      </c>
      <c r="C295" s="10" t="s">
        <v>899</v>
      </c>
      <c r="E295" s="23" t="s">
        <v>900</v>
      </c>
      <c r="H295" s="19" t="str">
        <f t="shared" si="6"/>
        <v>label var q29_1_it01_d "Q29_1_iter01_d. Agree or Disagree - A court - The process was affordable"</v>
      </c>
    </row>
    <row r="296" spans="1:8" x14ac:dyDescent="0.2">
      <c r="A296" s="5" t="s">
        <v>901</v>
      </c>
      <c r="B296" s="9">
        <v>295</v>
      </c>
      <c r="C296" s="10" t="s">
        <v>902</v>
      </c>
      <c r="E296" s="23" t="s">
        <v>903</v>
      </c>
      <c r="H296" s="19" t="str">
        <f t="shared" si="6"/>
        <v>label var q29_1_it01_e "Q29_1_iter01_e. Agree or Disagree - A court - The duration/length of the process was reasonable"</v>
      </c>
    </row>
    <row r="297" spans="1:8" x14ac:dyDescent="0.2">
      <c r="A297" s="5" t="s">
        <v>904</v>
      </c>
      <c r="B297" s="9">
        <v>296</v>
      </c>
      <c r="C297" s="10" t="s">
        <v>905</v>
      </c>
      <c r="D297" s="19" t="s">
        <v>906</v>
      </c>
      <c r="E297" s="23" t="s">
        <v>907</v>
      </c>
      <c r="H297" s="19" t="str">
        <f t="shared" si="6"/>
        <v>label var q29_1_it01_f "Q29_1_iter01_f. Agree or Disagree - A court - The process was fair"</v>
      </c>
    </row>
    <row r="298" spans="1:8" x14ac:dyDescent="0.2">
      <c r="A298" s="5" t="s">
        <v>908</v>
      </c>
      <c r="B298" s="9">
        <v>297</v>
      </c>
      <c r="C298" s="10" t="s">
        <v>909</v>
      </c>
      <c r="E298" s="23" t="s">
        <v>910</v>
      </c>
      <c r="H298" s="19" t="str">
        <f t="shared" si="6"/>
        <v>label var q29_1_it01_g "Q29_1_iter01_g. Agree or Disagree - A court - The outcome was fair"</v>
      </c>
    </row>
    <row r="299" spans="1:8" x14ac:dyDescent="0.2">
      <c r="A299" s="5" t="s">
        <v>911</v>
      </c>
      <c r="B299" s="9">
        <v>298</v>
      </c>
      <c r="C299" s="10" t="s">
        <v>912</v>
      </c>
      <c r="E299" s="23" t="s">
        <v>913</v>
      </c>
      <c r="H299" s="19" t="str">
        <f t="shared" si="6"/>
        <v>label var q29_1_it01_h "Q29_1_iter01_h. Agree or Disagree - A court - &lt;&gt; was helpful"</v>
      </c>
    </row>
    <row r="300" spans="1:8" x14ac:dyDescent="0.2">
      <c r="A300" s="5" t="s">
        <v>914</v>
      </c>
      <c r="B300" s="9">
        <v>299</v>
      </c>
      <c r="C300" s="10" t="s">
        <v>915</v>
      </c>
      <c r="E300" s="23" t="s">
        <v>916</v>
      </c>
      <c r="H300" s="19" t="str">
        <f t="shared" si="6"/>
        <v>label var q29_1_it01_i "Q29_1_iter01_i. Agree or Disagree - A court - &lt;&gt; took my concerns and experiences seriously"</v>
      </c>
    </row>
    <row r="301" spans="1:8" x14ac:dyDescent="0.2">
      <c r="A301" s="5" t="s">
        <v>917</v>
      </c>
      <c r="B301" s="9">
        <v>300</v>
      </c>
      <c r="C301" s="10" t="s">
        <v>918</v>
      </c>
      <c r="E301" s="23" t="s">
        <v>919</v>
      </c>
      <c r="H301" s="19" t="str">
        <f t="shared" si="6"/>
        <v>label var q29_1_it02_a "Q29_1_iter02_a. Agree or Disagree - A tribunal - Both parties had the same opportunity to explain their position"</v>
      </c>
    </row>
    <row r="302" spans="1:8" x14ac:dyDescent="0.2">
      <c r="A302" s="5" t="s">
        <v>920</v>
      </c>
      <c r="B302" s="9">
        <v>301</v>
      </c>
      <c r="C302" s="10" t="s">
        <v>921</v>
      </c>
      <c r="E302" s="23" t="s">
        <v>922</v>
      </c>
      <c r="H302" s="19" t="str">
        <f t="shared" si="6"/>
        <v>label var q29_1_it02_b "Q29_1_iter02_b. Agree or Disagree - A tribunal - The justification for the decision/outcome was clearly explained to me"</v>
      </c>
    </row>
    <row r="303" spans="1:8" x14ac:dyDescent="0.2">
      <c r="A303" s="5" t="s">
        <v>923</v>
      </c>
      <c r="B303" s="9">
        <v>302</v>
      </c>
      <c r="C303" s="10" t="s">
        <v>924</v>
      </c>
      <c r="E303" s="23" t="s">
        <v>925</v>
      </c>
      <c r="H303" s="19" t="str">
        <f t="shared" si="6"/>
        <v>label var q29_1_it02_c "Q29_1_iter02_c. Agree or Disagree - A tribunal - The process was efficient"</v>
      </c>
    </row>
    <row r="304" spans="1:8" x14ac:dyDescent="0.2">
      <c r="A304" s="5" t="s">
        <v>926</v>
      </c>
      <c r="B304" s="9">
        <v>303</v>
      </c>
      <c r="C304" s="10" t="s">
        <v>927</v>
      </c>
      <c r="E304" s="23" t="s">
        <v>928</v>
      </c>
      <c r="H304" s="19" t="str">
        <f t="shared" si="6"/>
        <v>label var q29_1_it02_d "Q29_1_iter02_d. Agree or Disagree - A tribunal - The process was affordable"</v>
      </c>
    </row>
    <row r="305" spans="1:8" x14ac:dyDescent="0.2">
      <c r="A305" s="5" t="s">
        <v>929</v>
      </c>
      <c r="B305" s="9">
        <v>304</v>
      </c>
      <c r="C305" s="10" t="s">
        <v>930</v>
      </c>
      <c r="E305" s="23" t="s">
        <v>931</v>
      </c>
      <c r="H305" s="19" t="str">
        <f t="shared" si="6"/>
        <v>label var q29_1_it02_e "Q29_1_iter02_e. Agree or Disagree - A tribunal - The duration/length of the process was reasonable"</v>
      </c>
    </row>
    <row r="306" spans="1:8" x14ac:dyDescent="0.2">
      <c r="A306" s="5" t="s">
        <v>932</v>
      </c>
      <c r="B306" s="9">
        <v>305</v>
      </c>
      <c r="C306" s="10" t="s">
        <v>933</v>
      </c>
      <c r="E306" s="23" t="s">
        <v>934</v>
      </c>
      <c r="H306" s="19" t="str">
        <f t="shared" si="6"/>
        <v>label var q29_1_it02_f "Q29_1_iter02_f. Agree or Disagree - A tribunal - The process was fair"</v>
      </c>
    </row>
    <row r="307" spans="1:8" x14ac:dyDescent="0.2">
      <c r="A307" s="5" t="s">
        <v>935</v>
      </c>
      <c r="B307" s="9">
        <v>306</v>
      </c>
      <c r="C307" s="10" t="s">
        <v>936</v>
      </c>
      <c r="E307" s="23" t="s">
        <v>937</v>
      </c>
      <c r="H307" s="19" t="str">
        <f t="shared" si="6"/>
        <v>label var q29_1_it02_g "Q29_1_iter02_g. Agree or Disagree - A tribunal - The outcome was fair"</v>
      </c>
    </row>
    <row r="308" spans="1:8" x14ac:dyDescent="0.2">
      <c r="A308" s="5" t="s">
        <v>938</v>
      </c>
      <c r="B308" s="9">
        <v>307</v>
      </c>
      <c r="C308" s="10" t="s">
        <v>939</v>
      </c>
      <c r="E308" s="23" t="s">
        <v>940</v>
      </c>
      <c r="H308" s="19" t="str">
        <f t="shared" si="6"/>
        <v>label var q29_1_it02_h "Q29_1_iter02_h. Agree or Disagree - A tribunal - &lt;&gt; was helpful"</v>
      </c>
    </row>
    <row r="309" spans="1:8" x14ac:dyDescent="0.2">
      <c r="A309" s="5" t="s">
        <v>941</v>
      </c>
      <c r="B309" s="9">
        <v>308</v>
      </c>
      <c r="C309" s="10" t="s">
        <v>942</v>
      </c>
      <c r="E309" s="23" t="s">
        <v>943</v>
      </c>
      <c r="H309" s="19" t="str">
        <f t="shared" si="6"/>
        <v>label var q29_1_it02_i "Q29_1_iter02_i. Agree or Disagree - A tribunal - &lt;&gt; took my concerns and experiences seriously"</v>
      </c>
    </row>
    <row r="310" spans="1:8" x14ac:dyDescent="0.2">
      <c r="A310" s="5" t="s">
        <v>944</v>
      </c>
      <c r="B310" s="9">
        <v>309</v>
      </c>
      <c r="C310" s="10" t="s">
        <v>945</v>
      </c>
      <c r="E310" s="23" t="s">
        <v>946</v>
      </c>
      <c r="H310" s="19" t="str">
        <f t="shared" si="6"/>
        <v>label var q29_1_it03_a "Q29_1_iter03_a. Agree or Disagree - An Ombudsman - Both parties had the same opportunity to explain their position"</v>
      </c>
    </row>
    <row r="311" spans="1:8" ht="30" x14ac:dyDescent="0.2">
      <c r="A311" s="5" t="s">
        <v>947</v>
      </c>
      <c r="B311" s="9">
        <v>310</v>
      </c>
      <c r="C311" s="10" t="s">
        <v>948</v>
      </c>
      <c r="E311" s="23" t="s">
        <v>949</v>
      </c>
      <c r="H311" s="19" t="str">
        <f t="shared" si="6"/>
        <v>label var q29_1_it03_b "Q29_1_iter03_b. Agree or Disagree - An Ombudsman - The justification for the decision/outcome was clearly explained to me"</v>
      </c>
    </row>
    <row r="312" spans="1:8" x14ac:dyDescent="0.2">
      <c r="A312" s="5" t="s">
        <v>950</v>
      </c>
      <c r="B312" s="9">
        <v>311</v>
      </c>
      <c r="C312" s="10" t="s">
        <v>951</v>
      </c>
      <c r="E312" s="23" t="s">
        <v>952</v>
      </c>
      <c r="H312" s="19" t="str">
        <f t="shared" si="6"/>
        <v>label var q29_1_it03_c "Q29_1_iter03_c. Agree or Disagree - An Ombudsman - The process was efficient"</v>
      </c>
    </row>
    <row r="313" spans="1:8" x14ac:dyDescent="0.2">
      <c r="A313" s="5" t="s">
        <v>953</v>
      </c>
      <c r="B313" s="9">
        <v>312</v>
      </c>
      <c r="C313" s="10" t="s">
        <v>954</v>
      </c>
      <c r="E313" s="23" t="s">
        <v>955</v>
      </c>
      <c r="H313" s="19" t="str">
        <f t="shared" si="6"/>
        <v>label var q29_1_it03_d "Q29_1_iter03_d. Agree or Disagree - An Ombudsman - The process was affordable"</v>
      </c>
    </row>
    <row r="314" spans="1:8" x14ac:dyDescent="0.2">
      <c r="A314" s="5" t="s">
        <v>956</v>
      </c>
      <c r="B314" s="9">
        <v>313</v>
      </c>
      <c r="C314" s="10" t="s">
        <v>957</v>
      </c>
      <c r="E314" s="23" t="s">
        <v>958</v>
      </c>
      <c r="H314" s="19" t="str">
        <f t="shared" si="6"/>
        <v>label var q29_1_it03_e "Q29_1_iter03_e. Agree or Disagree - An Ombudsman - The duration/length of the process was reasonable"</v>
      </c>
    </row>
    <row r="315" spans="1:8" x14ac:dyDescent="0.2">
      <c r="A315" s="5" t="s">
        <v>959</v>
      </c>
      <c r="B315" s="9">
        <v>314</v>
      </c>
      <c r="C315" s="10" t="s">
        <v>960</v>
      </c>
      <c r="E315" s="23" t="s">
        <v>961</v>
      </c>
      <c r="H315" s="19" t="str">
        <f t="shared" si="6"/>
        <v>label var q29_1_it03_f "Q29_1_iter03_f. Agree or Disagree - An Ombudsman - The process was fair"</v>
      </c>
    </row>
    <row r="316" spans="1:8" x14ac:dyDescent="0.2">
      <c r="A316" s="5" t="s">
        <v>962</v>
      </c>
      <c r="B316" s="9">
        <v>315</v>
      </c>
      <c r="C316" s="10" t="s">
        <v>963</v>
      </c>
      <c r="E316" s="23" t="s">
        <v>964</v>
      </c>
      <c r="H316" s="19" t="str">
        <f t="shared" si="6"/>
        <v>label var q29_1_it03_g "Q29_1_iter03_g. Agree or Disagree - An Ombudsman - The outcome was fair"</v>
      </c>
    </row>
    <row r="317" spans="1:8" x14ac:dyDescent="0.2">
      <c r="A317" s="5" t="s">
        <v>965</v>
      </c>
      <c r="B317" s="9">
        <v>316</v>
      </c>
      <c r="C317" s="10" t="s">
        <v>966</v>
      </c>
      <c r="E317" s="23" t="s">
        <v>967</v>
      </c>
      <c r="H317" s="19" t="str">
        <f t="shared" si="6"/>
        <v>label var q29_1_it03_h "Q29_1_iter03_h. Agree or Disagree - An Ombudsman - &lt;&gt; was helpful"</v>
      </c>
    </row>
    <row r="318" spans="1:8" x14ac:dyDescent="0.2">
      <c r="A318" s="5" t="s">
        <v>968</v>
      </c>
      <c r="B318" s="9">
        <v>317</v>
      </c>
      <c r="C318" s="10" t="s">
        <v>969</v>
      </c>
      <c r="E318" s="23" t="s">
        <v>970</v>
      </c>
      <c r="H318" s="19" t="str">
        <f t="shared" si="6"/>
        <v>label var q29_1_it03_i "Q29_1_iter03_i. Agree or Disagree - An Ombudsman - &lt;&gt; took my concerns and experiences seriously"</v>
      </c>
    </row>
    <row r="319" spans="1:8" x14ac:dyDescent="0.2">
      <c r="A319" s="5" t="s">
        <v>971</v>
      </c>
      <c r="B319" s="9">
        <v>318</v>
      </c>
      <c r="C319" s="10" t="s">
        <v>972</v>
      </c>
      <c r="E319" s="23" t="s">
        <v>973</v>
      </c>
      <c r="H319" s="19" t="str">
        <f t="shared" si="6"/>
        <v>label var q29_1_it04_a "Q29_1_iter04_a. Agree or Disagree - The Gardai/police - Both parties had the same opportunity to explain their position"</v>
      </c>
    </row>
    <row r="320" spans="1:8" ht="30" x14ac:dyDescent="0.2">
      <c r="A320" s="5" t="s">
        <v>974</v>
      </c>
      <c r="B320" s="9">
        <v>319</v>
      </c>
      <c r="C320" s="10" t="s">
        <v>975</v>
      </c>
      <c r="E320" s="23" t="s">
        <v>976</v>
      </c>
      <c r="H320" s="19" t="str">
        <f t="shared" si="6"/>
        <v>label var q29_1_it04_b "Q29_1_iter04_b. Agree or Disagree - The Gardai/police - The justification for the decision/outcome was clearly explained to me"</v>
      </c>
    </row>
    <row r="321" spans="1:8" x14ac:dyDescent="0.2">
      <c r="A321" s="5" t="s">
        <v>977</v>
      </c>
      <c r="B321" s="9">
        <v>320</v>
      </c>
      <c r="C321" s="10" t="s">
        <v>978</v>
      </c>
      <c r="E321" s="23" t="s">
        <v>979</v>
      </c>
      <c r="H321" s="19" t="str">
        <f t="shared" si="6"/>
        <v>label var q29_1_it04_c "Q29_1_iter04_c. Agree or Disagree - The Gardai/police - The process was efficient"</v>
      </c>
    </row>
    <row r="322" spans="1:8" x14ac:dyDescent="0.2">
      <c r="A322" s="5" t="s">
        <v>980</v>
      </c>
      <c r="B322" s="9">
        <v>321</v>
      </c>
      <c r="C322" s="10" t="s">
        <v>981</v>
      </c>
      <c r="E322" s="23" t="s">
        <v>982</v>
      </c>
      <c r="H322" s="19" t="str">
        <f t="shared" si="6"/>
        <v>label var q29_1_it04_d "Q29_1_iter04_d. Agree or Disagree - The Gardai/police - The process was affordable"</v>
      </c>
    </row>
    <row r="323" spans="1:8" x14ac:dyDescent="0.2">
      <c r="A323" s="5" t="s">
        <v>983</v>
      </c>
      <c r="B323" s="9">
        <v>322</v>
      </c>
      <c r="C323" s="10" t="s">
        <v>984</v>
      </c>
      <c r="E323" s="23" t="s">
        <v>985</v>
      </c>
      <c r="H323" s="19" t="str">
        <f t="shared" ref="H323:H386" si="7">_xlfn.CONCAT("label var ",A323," ",$H$1,C323,$H$1)</f>
        <v>label var q29_1_it04_e "Q29_1_iter04_e. Agree or Disagree - The Gardai/police - The duration/length of the process was reasonable"</v>
      </c>
    </row>
    <row r="324" spans="1:8" x14ac:dyDescent="0.2">
      <c r="A324" s="5" t="s">
        <v>986</v>
      </c>
      <c r="B324" s="9">
        <v>323</v>
      </c>
      <c r="C324" s="10" t="s">
        <v>987</v>
      </c>
      <c r="E324" s="23" t="s">
        <v>988</v>
      </c>
      <c r="H324" s="19" t="str">
        <f t="shared" si="7"/>
        <v>label var q29_1_it04_f "Q29_1_iter04_f. Agree or Disagree - The Gardai/police - The process was fair"</v>
      </c>
    </row>
    <row r="325" spans="1:8" x14ac:dyDescent="0.2">
      <c r="A325" s="5" t="s">
        <v>989</v>
      </c>
      <c r="B325" s="9">
        <v>324</v>
      </c>
      <c r="C325" s="10" t="s">
        <v>990</v>
      </c>
      <c r="E325" s="23" t="s">
        <v>991</v>
      </c>
      <c r="H325" s="19" t="str">
        <f t="shared" si="7"/>
        <v>label var q29_1_it04_g "Q29_1_iter04_g. Agree or Disagree - The Gardai/police - The outcome was fair"</v>
      </c>
    </row>
    <row r="326" spans="1:8" x14ac:dyDescent="0.2">
      <c r="A326" s="5" t="s">
        <v>992</v>
      </c>
      <c r="B326" s="9">
        <v>325</v>
      </c>
      <c r="C326" s="10" t="s">
        <v>993</v>
      </c>
      <c r="E326" s="23" t="s">
        <v>994</v>
      </c>
      <c r="H326" s="19" t="str">
        <f t="shared" si="7"/>
        <v>label var q29_1_it04_h "Q29_1_iter04_h. Agree or Disagree - The Gardai/police - &lt;&gt; was helpful"</v>
      </c>
    </row>
    <row r="327" spans="1:8" x14ac:dyDescent="0.2">
      <c r="A327" s="5" t="s">
        <v>995</v>
      </c>
      <c r="B327" s="9">
        <v>326</v>
      </c>
      <c r="C327" s="10" t="s">
        <v>996</v>
      </c>
      <c r="E327" s="23" t="s">
        <v>997</v>
      </c>
      <c r="H327" s="19" t="str">
        <f t="shared" si="7"/>
        <v>label var q29_1_it04_i "Q29_1_iter04_i. Agree or Disagree - The Gardai/police - &lt;&gt; took my concerns and experiences seriously"</v>
      </c>
    </row>
    <row r="328" spans="1:8" ht="30" x14ac:dyDescent="0.2">
      <c r="A328" s="5" t="s">
        <v>998</v>
      </c>
      <c r="B328" s="9">
        <v>327</v>
      </c>
      <c r="C328" s="10" t="s">
        <v>999</v>
      </c>
      <c r="E328" s="23" t="s">
        <v>1000</v>
      </c>
      <c r="H328" s="19" t="str">
        <f t="shared" si="7"/>
        <v>label var q29_1_it05_a "Q29_1_iter05_a. Agree or Disagree - A formal mediation service - Both parties had the same opportunity to explain their position"</v>
      </c>
    </row>
    <row r="329" spans="1:8" ht="30" x14ac:dyDescent="0.2">
      <c r="A329" s="5" t="s">
        <v>1001</v>
      </c>
      <c r="B329" s="9">
        <v>328</v>
      </c>
      <c r="C329" s="10" t="s">
        <v>1002</v>
      </c>
      <c r="E329" s="23" t="s">
        <v>1003</v>
      </c>
      <c r="H329" s="19" t="str">
        <f t="shared" si="7"/>
        <v>label var q29_1_it05_b "Q29_1_iter05_b. Agree or Disagree - A formal mediation service - The justification for the decision/outcome was clearly explained to me"</v>
      </c>
    </row>
    <row r="330" spans="1:8" x14ac:dyDescent="0.2">
      <c r="A330" s="5" t="s">
        <v>1004</v>
      </c>
      <c r="B330" s="9">
        <v>329</v>
      </c>
      <c r="C330" s="10" t="s">
        <v>1005</v>
      </c>
      <c r="E330" s="23" t="s">
        <v>1006</v>
      </c>
      <c r="H330" s="19" t="str">
        <f t="shared" si="7"/>
        <v>label var q29_1_it05_c "Q29_1_iter05_c. Agree or Disagree - A formal mediation service - The process was efficient"</v>
      </c>
    </row>
    <row r="331" spans="1:8" x14ac:dyDescent="0.2">
      <c r="A331" s="5" t="s">
        <v>1007</v>
      </c>
      <c r="B331" s="9">
        <v>330</v>
      </c>
      <c r="C331" s="10" t="s">
        <v>1008</v>
      </c>
      <c r="E331" s="23" t="s">
        <v>1009</v>
      </c>
      <c r="H331" s="19" t="str">
        <f t="shared" si="7"/>
        <v>label var q29_1_it05_d "Q29_1_iter05_d. Agree or Disagree - A formal mediation service - The process was affordable"</v>
      </c>
    </row>
    <row r="332" spans="1:8" x14ac:dyDescent="0.2">
      <c r="A332" s="5" t="s">
        <v>1010</v>
      </c>
      <c r="B332" s="9">
        <v>331</v>
      </c>
      <c r="C332" s="10" t="s">
        <v>1011</v>
      </c>
      <c r="E332" s="23" t="s">
        <v>1012</v>
      </c>
      <c r="H332" s="19" t="str">
        <f t="shared" si="7"/>
        <v>label var q29_1_it05_e "Q29_1_iter05_e. Agree or Disagree - A formal mediation service - The duration/length of the process was reasonable"</v>
      </c>
    </row>
    <row r="333" spans="1:8" x14ac:dyDescent="0.2">
      <c r="A333" s="5" t="s">
        <v>1013</v>
      </c>
      <c r="B333" s="9">
        <v>332</v>
      </c>
      <c r="C333" s="10" t="s">
        <v>1014</v>
      </c>
      <c r="E333" s="23" t="s">
        <v>1015</v>
      </c>
      <c r="H333" s="19" t="str">
        <f t="shared" si="7"/>
        <v>label var q29_1_it05_f "Q29_1_iter05_f. Agree or Disagree - A formal mediation service - The process was fair"</v>
      </c>
    </row>
    <row r="334" spans="1:8" x14ac:dyDescent="0.2">
      <c r="A334" s="5" t="s">
        <v>1016</v>
      </c>
      <c r="B334" s="9">
        <v>333</v>
      </c>
      <c r="C334" s="10" t="s">
        <v>1017</v>
      </c>
      <c r="E334" s="23" t="s">
        <v>1018</v>
      </c>
      <c r="H334" s="19" t="str">
        <f t="shared" si="7"/>
        <v>label var q29_1_it05_g "Q29_1_iter05_g. Agree or Disagree - A formal mediation service - The outcome was fair"</v>
      </c>
    </row>
    <row r="335" spans="1:8" x14ac:dyDescent="0.2">
      <c r="A335" s="5" t="s">
        <v>1019</v>
      </c>
      <c r="B335" s="9">
        <v>334</v>
      </c>
      <c r="C335" s="10" t="s">
        <v>1020</v>
      </c>
      <c r="E335" s="23" t="s">
        <v>1021</v>
      </c>
      <c r="H335" s="19" t="str">
        <f t="shared" si="7"/>
        <v>label var q29_1_it05_h "Q29_1_iter05_h. Agree or Disagree - A formal mediation service - &lt;&gt; was helpful"</v>
      </c>
    </row>
    <row r="336" spans="1:8" x14ac:dyDescent="0.2">
      <c r="A336" s="5" t="s">
        <v>1022</v>
      </c>
      <c r="B336" s="9">
        <v>335</v>
      </c>
      <c r="C336" s="10" t="s">
        <v>1023</v>
      </c>
      <c r="E336" s="23" t="s">
        <v>1024</v>
      </c>
      <c r="H336" s="19" t="str">
        <f t="shared" si="7"/>
        <v>label var q29_1_it05_i "Q29_1_iter05_i. Agree or Disagree - A formal mediation service - &lt;&gt; took my concerns and experiences seriously"</v>
      </c>
    </row>
    <row r="337" spans="1:8" ht="30" x14ac:dyDescent="0.2">
      <c r="A337" s="5" t="s">
        <v>1025</v>
      </c>
      <c r="B337" s="9">
        <v>336</v>
      </c>
      <c r="C337" s="10" t="s">
        <v>1026</v>
      </c>
      <c r="E337" s="23" t="s">
        <v>1027</v>
      </c>
      <c r="H337" s="19" t="str">
        <f t="shared" si="7"/>
        <v>label var q29_1_it06_a "Q29_1_iter06_a. Agree or Disagree - A lawyer / lawyer's office - Both parties had the same opportunity to explain their position"</v>
      </c>
    </row>
    <row r="338" spans="1:8" ht="30" x14ac:dyDescent="0.2">
      <c r="A338" s="5" t="s">
        <v>1028</v>
      </c>
      <c r="B338" s="9">
        <v>337</v>
      </c>
      <c r="C338" s="10" t="s">
        <v>1029</v>
      </c>
      <c r="E338" s="23" t="s">
        <v>1030</v>
      </c>
      <c r="H338" s="19" t="str">
        <f t="shared" si="7"/>
        <v>label var q29_1_it06_b "Q29_1_iter06_b. Agree or Disagree - A lawyer / lawyer's office - The justification for the decision/outcome was clearly explained to me"</v>
      </c>
    </row>
    <row r="339" spans="1:8" x14ac:dyDescent="0.2">
      <c r="A339" s="5" t="s">
        <v>1031</v>
      </c>
      <c r="B339" s="9">
        <v>338</v>
      </c>
      <c r="C339" s="10" t="s">
        <v>1032</v>
      </c>
      <c r="E339" s="23" t="s">
        <v>1033</v>
      </c>
      <c r="H339" s="19" t="str">
        <f t="shared" si="7"/>
        <v>label var q29_1_it06_c "Q29_1_iter06_c. Agree or Disagree - A lawyer / lawyer's office - The process was efficient"</v>
      </c>
    </row>
    <row r="340" spans="1:8" x14ac:dyDescent="0.2">
      <c r="A340" s="5" t="s">
        <v>1034</v>
      </c>
      <c r="B340" s="9">
        <v>339</v>
      </c>
      <c r="C340" s="10" t="s">
        <v>1035</v>
      </c>
      <c r="E340" s="23" t="s">
        <v>1036</v>
      </c>
      <c r="H340" s="19" t="str">
        <f t="shared" si="7"/>
        <v>label var q29_1_it06_d "Q29_1_iter06_d. Agree or Disagree - A lawyer / lawyer's office - The process was affordable"</v>
      </c>
    </row>
    <row r="341" spans="1:8" x14ac:dyDescent="0.2">
      <c r="A341" s="5" t="s">
        <v>1037</v>
      </c>
      <c r="B341" s="9">
        <v>340</v>
      </c>
      <c r="C341" s="10" t="s">
        <v>1038</v>
      </c>
      <c r="E341" s="23" t="s">
        <v>1039</v>
      </c>
      <c r="H341" s="19" t="str">
        <f t="shared" si="7"/>
        <v>label var q29_1_it06_e "Q29_1_iter06_e. Agree or Disagree - A lawyer / lawyer's office - The duration/length of the process was reasonable"</v>
      </c>
    </row>
    <row r="342" spans="1:8" x14ac:dyDescent="0.2">
      <c r="A342" s="5" t="s">
        <v>1040</v>
      </c>
      <c r="B342" s="9">
        <v>341</v>
      </c>
      <c r="C342" s="10" t="s">
        <v>1041</v>
      </c>
      <c r="E342" s="23" t="s">
        <v>1042</v>
      </c>
      <c r="H342" s="19" t="str">
        <f t="shared" si="7"/>
        <v>label var q29_1_it06_f "Q29_1_iter06_f. Agree or Disagree - A lawyer / lawyer's office - The process was fair"</v>
      </c>
    </row>
    <row r="343" spans="1:8" x14ac:dyDescent="0.2">
      <c r="A343" s="5" t="s">
        <v>1043</v>
      </c>
      <c r="B343" s="9">
        <v>342</v>
      </c>
      <c r="C343" s="10" t="s">
        <v>1044</v>
      </c>
      <c r="E343" s="23" t="s">
        <v>1045</v>
      </c>
      <c r="H343" s="19" t="str">
        <f t="shared" si="7"/>
        <v>label var q29_1_it06_g "Q29_1_iter06_g. Agree or Disagree - A lawyer / lawyer's office - The outcome was fair"</v>
      </c>
    </row>
    <row r="344" spans="1:8" x14ac:dyDescent="0.2">
      <c r="A344" s="5" t="s">
        <v>1046</v>
      </c>
      <c r="B344" s="9">
        <v>343</v>
      </c>
      <c r="C344" s="10" t="s">
        <v>1047</v>
      </c>
      <c r="E344" s="23" t="s">
        <v>1048</v>
      </c>
      <c r="H344" s="19" t="str">
        <f t="shared" si="7"/>
        <v>label var q29_1_it06_h "Q29_1_iter06_h. Agree or Disagree - A lawyer / lawyer's office - &lt;&gt; was helpful"</v>
      </c>
    </row>
    <row r="345" spans="1:8" x14ac:dyDescent="0.2">
      <c r="A345" s="5" t="s">
        <v>1049</v>
      </c>
      <c r="B345" s="9">
        <v>344</v>
      </c>
      <c r="C345" s="10" t="s">
        <v>1050</v>
      </c>
      <c r="E345" s="23" t="s">
        <v>1051</v>
      </c>
      <c r="H345" s="19" t="str">
        <f t="shared" si="7"/>
        <v>label var q29_1_it06_i "Q29_1_iter06_i. Agree or Disagree - A lawyer / lawyer's office - &lt;&gt; took my concerns and experiences seriously"</v>
      </c>
    </row>
    <row r="346" spans="1:8" ht="30" x14ac:dyDescent="0.2">
      <c r="A346" s="5" t="s">
        <v>1052</v>
      </c>
      <c r="B346" s="9">
        <v>345</v>
      </c>
      <c r="C346" s="10" t="s">
        <v>1053</v>
      </c>
      <c r="E346" s="23" t="s">
        <v>1054</v>
      </c>
      <c r="H346" s="19" t="str">
        <f t="shared" si="7"/>
        <v>label var q29_1_it07_a "Q29_1_iter07_a. Agree or Disagree - A government department, local council or government agency - Both parties had the same opportunity to explain their position"</v>
      </c>
    </row>
    <row r="347" spans="1:8" ht="30" x14ac:dyDescent="0.2">
      <c r="A347" s="5" t="s">
        <v>1055</v>
      </c>
      <c r="B347" s="9">
        <v>346</v>
      </c>
      <c r="C347" s="10" t="s">
        <v>1056</v>
      </c>
      <c r="E347" s="23" t="s">
        <v>1057</v>
      </c>
      <c r="H347" s="19" t="str">
        <f t="shared" si="7"/>
        <v>label var q29_1_it07_b "Q29_1_iter07_b. Agree or Disagree - A government department, local council or government agency - The justification for the decision/outcome was clearly explained to me"</v>
      </c>
    </row>
    <row r="348" spans="1:8" ht="30" x14ac:dyDescent="0.2">
      <c r="A348" s="5" t="s">
        <v>1058</v>
      </c>
      <c r="B348" s="9">
        <v>347</v>
      </c>
      <c r="C348" s="10" t="s">
        <v>1059</v>
      </c>
      <c r="E348" s="23" t="s">
        <v>1060</v>
      </c>
      <c r="H348" s="19" t="str">
        <f t="shared" si="7"/>
        <v>label var q29_1_it07_c "Q29_1_iter07_c. Agree or Disagree - A government department, local council or government agency - The process was efficient"</v>
      </c>
    </row>
    <row r="349" spans="1:8" ht="30" x14ac:dyDescent="0.2">
      <c r="A349" s="5" t="s">
        <v>1061</v>
      </c>
      <c r="B349" s="9">
        <v>348</v>
      </c>
      <c r="C349" s="10" t="s">
        <v>1062</v>
      </c>
      <c r="E349" s="23" t="s">
        <v>1063</v>
      </c>
      <c r="H349" s="19" t="str">
        <f t="shared" si="7"/>
        <v>label var q29_1_it07_d "Q29_1_iter07_d. Agree or Disagree - A government department, local council or government agency - The process was affordable"</v>
      </c>
    </row>
    <row r="350" spans="1:8" ht="30" x14ac:dyDescent="0.2">
      <c r="A350" s="5" t="s">
        <v>1064</v>
      </c>
      <c r="B350" s="9">
        <v>349</v>
      </c>
      <c r="C350" s="10" t="s">
        <v>1065</v>
      </c>
      <c r="E350" s="23" t="s">
        <v>1066</v>
      </c>
      <c r="H350" s="19" t="str">
        <f t="shared" si="7"/>
        <v>label var q29_1_it07_e "Q29_1_iter07_e. Agree or Disagree - A government department, local council or government agency - The duration/length of the process was reasonable"</v>
      </c>
    </row>
    <row r="351" spans="1:8" ht="30" x14ac:dyDescent="0.2">
      <c r="A351" s="5" t="s">
        <v>1067</v>
      </c>
      <c r="B351" s="9">
        <v>350</v>
      </c>
      <c r="C351" s="10" t="s">
        <v>1068</v>
      </c>
      <c r="E351" s="23" t="s">
        <v>1069</v>
      </c>
      <c r="H351" s="19" t="str">
        <f t="shared" si="7"/>
        <v>label var q29_1_it07_f "Q29_1_iter07_f. Agree or Disagree - A government department, local council or government agency - The process was fair"</v>
      </c>
    </row>
    <row r="352" spans="1:8" ht="30" x14ac:dyDescent="0.2">
      <c r="A352" s="5" t="s">
        <v>1070</v>
      </c>
      <c r="B352" s="9">
        <v>351</v>
      </c>
      <c r="C352" s="10" t="s">
        <v>1071</v>
      </c>
      <c r="E352" s="23" t="s">
        <v>1072</v>
      </c>
      <c r="H352" s="19" t="str">
        <f t="shared" si="7"/>
        <v>label var q29_1_it07_g "Q29_1_iter07_g. Agree or Disagree - A government department, local council or government agency - The outcome was fair"</v>
      </c>
    </row>
    <row r="353" spans="1:8" x14ac:dyDescent="0.2">
      <c r="A353" s="5" t="s">
        <v>1073</v>
      </c>
      <c r="B353" s="9">
        <v>352</v>
      </c>
      <c r="C353" s="10" t="s">
        <v>1074</v>
      </c>
      <c r="E353" s="23" t="s">
        <v>1075</v>
      </c>
      <c r="H353" s="19" t="str">
        <f t="shared" si="7"/>
        <v>label var q29_1_it07_h "Q29_1_iter07_h. Agree or Disagree - A government department, local council or government agency - &lt;&gt; was helpful"</v>
      </c>
    </row>
    <row r="354" spans="1:8" ht="30" x14ac:dyDescent="0.2">
      <c r="A354" s="5" t="s">
        <v>1076</v>
      </c>
      <c r="B354" s="9">
        <v>353</v>
      </c>
      <c r="C354" s="10" t="s">
        <v>1077</v>
      </c>
      <c r="E354" s="23" t="s">
        <v>1078</v>
      </c>
      <c r="H354" s="19" t="str">
        <f t="shared" si="7"/>
        <v>label var q29_1_it07_i "Q29_1_iter07_i. Agree or Disagree - A government department, local council or government agency - &lt;&gt; took my concerns and experiences seriously"</v>
      </c>
    </row>
    <row r="355" spans="1:8" ht="30" x14ac:dyDescent="0.2">
      <c r="A355" s="5" t="s">
        <v>1079</v>
      </c>
      <c r="B355" s="9">
        <v>354</v>
      </c>
      <c r="C355" s="10" t="s">
        <v>1080</v>
      </c>
      <c r="E355" s="23" t="s">
        <v>1081</v>
      </c>
      <c r="H355" s="19" t="str">
        <f t="shared" si="7"/>
        <v>label var q29_1_it08_a "Q29_1_iter08_a. Agree or Disagree - A community leader, or other person of standing - Both parties had the same opportunity to explain their position"</v>
      </c>
    </row>
    <row r="356" spans="1:8" ht="30" x14ac:dyDescent="0.2">
      <c r="A356" s="5" t="s">
        <v>1082</v>
      </c>
      <c r="B356" s="9">
        <v>355</v>
      </c>
      <c r="C356" s="10" t="s">
        <v>1083</v>
      </c>
      <c r="E356" s="23" t="s">
        <v>1084</v>
      </c>
      <c r="H356" s="19" t="str">
        <f t="shared" si="7"/>
        <v>label var q29_1_it08_b "Q29_1_iter08_b. Agree or Disagree - A community leader, or other person of standing - The justification for the decision/outcome was clearly explained to me"</v>
      </c>
    </row>
    <row r="357" spans="1:8" x14ac:dyDescent="0.2">
      <c r="A357" s="5" t="s">
        <v>1085</v>
      </c>
      <c r="B357" s="9">
        <v>356</v>
      </c>
      <c r="C357" s="10" t="s">
        <v>1086</v>
      </c>
      <c r="E357" s="23" t="s">
        <v>1087</v>
      </c>
      <c r="H357" s="19" t="str">
        <f t="shared" si="7"/>
        <v>label var q29_1_it08_c "Q29_1_iter08_c. Agree or Disagree - A community leader, or other person of standing - The process was efficient"</v>
      </c>
    </row>
    <row r="358" spans="1:8" x14ac:dyDescent="0.2">
      <c r="A358" s="5" t="s">
        <v>1088</v>
      </c>
      <c r="B358" s="9">
        <v>357</v>
      </c>
      <c r="C358" s="10" t="s">
        <v>1089</v>
      </c>
      <c r="E358" s="23" t="s">
        <v>1090</v>
      </c>
      <c r="H358" s="19" t="str">
        <f t="shared" si="7"/>
        <v>label var q29_1_it08_d "Q29_1_iter08_d. Agree or Disagree - A community leader, or other person of standing - The process was affordable"</v>
      </c>
    </row>
    <row r="359" spans="1:8" ht="30" x14ac:dyDescent="0.2">
      <c r="A359" s="5" t="s">
        <v>1091</v>
      </c>
      <c r="B359" s="9">
        <v>358</v>
      </c>
      <c r="C359" s="10" t="s">
        <v>1092</v>
      </c>
      <c r="E359" s="23" t="s">
        <v>1093</v>
      </c>
      <c r="H359" s="19" t="str">
        <f t="shared" si="7"/>
        <v>label var q29_1_it08_e "Q29_1_iter08_e. Agree or Disagree - A community leader, or other person of standing - The duration/length of the process was reasonable"</v>
      </c>
    </row>
    <row r="360" spans="1:8" x14ac:dyDescent="0.2">
      <c r="A360" s="5" t="s">
        <v>1094</v>
      </c>
      <c r="B360" s="9">
        <v>359</v>
      </c>
      <c r="C360" s="10" t="s">
        <v>1095</v>
      </c>
      <c r="E360" s="23" t="s">
        <v>1096</v>
      </c>
      <c r="H360" s="19" t="str">
        <f t="shared" si="7"/>
        <v>label var q29_1_it08_f "Q29_1_iter08_f. Agree or Disagree - A community leader, or other person of standing - The process was fair"</v>
      </c>
    </row>
    <row r="361" spans="1:8" x14ac:dyDescent="0.2">
      <c r="A361" s="5" t="s">
        <v>1097</v>
      </c>
      <c r="B361" s="9">
        <v>360</v>
      </c>
      <c r="C361" s="10" t="s">
        <v>1098</v>
      </c>
      <c r="E361" s="23" t="s">
        <v>1099</v>
      </c>
      <c r="H361" s="19" t="str">
        <f t="shared" si="7"/>
        <v>label var q29_1_it08_g "Q29_1_iter08_g. Agree or Disagree - A community leader, or other person of standing - The outcome was fair"</v>
      </c>
    </row>
    <row r="362" spans="1:8" x14ac:dyDescent="0.2">
      <c r="A362" s="5" t="s">
        <v>1100</v>
      </c>
      <c r="B362" s="9">
        <v>361</v>
      </c>
      <c r="C362" s="10" t="s">
        <v>1101</v>
      </c>
      <c r="E362" s="23" t="s">
        <v>1102</v>
      </c>
      <c r="H362" s="19" t="str">
        <f t="shared" si="7"/>
        <v>label var q29_1_it08_h "Q29_1_iter08_h. Agree or Disagree - A community leader, or other person of standing - &lt;&gt; was helpful"</v>
      </c>
    </row>
    <row r="363" spans="1:8" ht="30" x14ac:dyDescent="0.2">
      <c r="A363" s="5" t="s">
        <v>1103</v>
      </c>
      <c r="B363" s="9">
        <v>362</v>
      </c>
      <c r="C363" s="10" t="s">
        <v>1104</v>
      </c>
      <c r="E363" s="23" t="s">
        <v>1105</v>
      </c>
      <c r="H363" s="19" t="str">
        <f t="shared" si="7"/>
        <v>label var q29_1_it08_i "Q29_1_iter08_i. Agree or Disagree - A community leader, or other person of standing - &lt;&gt; took my concerns and experiences seriously"</v>
      </c>
    </row>
    <row r="364" spans="1:8" ht="30" x14ac:dyDescent="0.2">
      <c r="A364" s="5" t="s">
        <v>1106</v>
      </c>
      <c r="B364" s="9">
        <v>363</v>
      </c>
      <c r="C364" s="10" t="s">
        <v>1107</v>
      </c>
      <c r="E364" s="23" t="s">
        <v>1108</v>
      </c>
      <c r="H364" s="19" t="str">
        <f t="shared" si="7"/>
        <v>label var q29_1_it09_a "Q29_1_iter09_a. Agree or Disagree - Other dispute resolution service - Both parties had the same opportunity to explain their position"</v>
      </c>
    </row>
    <row r="365" spans="1:8" ht="30" x14ac:dyDescent="0.2">
      <c r="A365" s="5" t="s">
        <v>1109</v>
      </c>
      <c r="B365" s="9">
        <v>364</v>
      </c>
      <c r="C365" s="10" t="s">
        <v>1110</v>
      </c>
      <c r="E365" s="23" t="s">
        <v>1111</v>
      </c>
      <c r="H365" s="19" t="str">
        <f t="shared" si="7"/>
        <v>label var q29_1_it09_b "Q29_1_iter09_b. Agree or Disagree - Other dispute resolution service - The justification for the decision/outcome was clearly explained to me"</v>
      </c>
    </row>
    <row r="366" spans="1:8" x14ac:dyDescent="0.2">
      <c r="A366" s="5" t="s">
        <v>1112</v>
      </c>
      <c r="B366" s="9">
        <v>365</v>
      </c>
      <c r="C366" s="10" t="s">
        <v>1113</v>
      </c>
      <c r="E366" s="23" t="s">
        <v>1114</v>
      </c>
      <c r="H366" s="19" t="str">
        <f t="shared" si="7"/>
        <v>label var q29_1_it09_c "Q29_1_iter09_c. Agree or Disagree - Other dispute resolution service - The process was efficient"</v>
      </c>
    </row>
    <row r="367" spans="1:8" x14ac:dyDescent="0.2">
      <c r="A367" s="5" t="s">
        <v>1115</v>
      </c>
      <c r="B367" s="9">
        <v>366</v>
      </c>
      <c r="C367" s="10" t="s">
        <v>1116</v>
      </c>
      <c r="E367" s="23" t="s">
        <v>1117</v>
      </c>
      <c r="H367" s="19" t="str">
        <f t="shared" si="7"/>
        <v>label var q29_1_it09_d "Q29_1_iter09_d. Agree or Disagree - Other dispute resolution service - The process was affordable"</v>
      </c>
    </row>
    <row r="368" spans="1:8" ht="30" x14ac:dyDescent="0.2">
      <c r="A368" s="5" t="s">
        <v>1118</v>
      </c>
      <c r="B368" s="9">
        <v>367</v>
      </c>
      <c r="C368" s="10" t="s">
        <v>1119</v>
      </c>
      <c r="E368" s="23" t="s">
        <v>1120</v>
      </c>
      <c r="H368" s="19" t="str">
        <f t="shared" si="7"/>
        <v>label var q29_1_it09_e "Q29_1_iter09_e. Agree or Disagree - Other dispute resolution service - The duration/length of the process was reasonable"</v>
      </c>
    </row>
    <row r="369" spans="1:8" x14ac:dyDescent="0.2">
      <c r="A369" s="5" t="s">
        <v>1121</v>
      </c>
      <c r="B369" s="9">
        <v>368</v>
      </c>
      <c r="C369" s="10" t="s">
        <v>1122</v>
      </c>
      <c r="E369" s="23" t="s">
        <v>1123</v>
      </c>
      <c r="H369" s="19" t="str">
        <f t="shared" si="7"/>
        <v>label var q29_1_it09_f "Q29_1_iter09_f. Agree or Disagree - Other dispute resolution service - The process was fair"</v>
      </c>
    </row>
    <row r="370" spans="1:8" x14ac:dyDescent="0.2">
      <c r="A370" s="5" t="s">
        <v>1124</v>
      </c>
      <c r="B370" s="9">
        <v>369</v>
      </c>
      <c r="C370" s="10" t="s">
        <v>1125</v>
      </c>
      <c r="E370" s="23" t="s">
        <v>1126</v>
      </c>
      <c r="H370" s="19" t="str">
        <f t="shared" si="7"/>
        <v>label var q29_1_it09_g "Q29_1_iter09_g. Agree or Disagree - Other dispute resolution service - The outcome was fair"</v>
      </c>
    </row>
    <row r="371" spans="1:8" x14ac:dyDescent="0.2">
      <c r="A371" s="5" t="s">
        <v>1127</v>
      </c>
      <c r="B371" s="9">
        <v>370</v>
      </c>
      <c r="C371" s="10" t="s">
        <v>1128</v>
      </c>
      <c r="E371" s="23" t="s">
        <v>1129</v>
      </c>
      <c r="H371" s="19" t="str">
        <f t="shared" si="7"/>
        <v>label var q29_1_it09_h "Q29_1_iter09_h. Agree or Disagree - Other dispute resolution service - &lt;&gt; was helpful"</v>
      </c>
    </row>
    <row r="372" spans="1:8" x14ac:dyDescent="0.2">
      <c r="A372" s="5" t="s">
        <v>1130</v>
      </c>
      <c r="B372" s="9">
        <v>371</v>
      </c>
      <c r="C372" s="10" t="s">
        <v>1131</v>
      </c>
      <c r="E372" s="23" t="s">
        <v>1132</v>
      </c>
      <c r="H372" s="19" t="str">
        <f t="shared" si="7"/>
        <v>label var q29_1_it09_i "Q29_1_iter09_i. Agree or Disagree - Other dispute resolution service - &lt;&gt; took my concerns and experiences seriously"</v>
      </c>
    </row>
    <row r="373" spans="1:8" ht="30" x14ac:dyDescent="0.2">
      <c r="A373" s="5" t="s">
        <v>1133</v>
      </c>
      <c r="B373" s="9">
        <v>372</v>
      </c>
      <c r="C373" s="10" t="s">
        <v>1134</v>
      </c>
      <c r="E373" s="23" t="s">
        <v>1135</v>
      </c>
      <c r="H373" s="19" t="str">
        <f t="shared" si="7"/>
        <v>label var q29_1_it11_a "Q29_1_iter11_a. Agree or Disagree - Other professional or organisation - Both parties had the same opportunity to explain their position"</v>
      </c>
    </row>
    <row r="374" spans="1:8" ht="30" x14ac:dyDescent="0.2">
      <c r="A374" s="5" t="s">
        <v>1136</v>
      </c>
      <c r="B374" s="9">
        <v>373</v>
      </c>
      <c r="C374" s="10" t="s">
        <v>1137</v>
      </c>
      <c r="E374" s="23" t="s">
        <v>1138</v>
      </c>
      <c r="H374" s="19" t="str">
        <f t="shared" si="7"/>
        <v>label var q29_1_it11_b "Q29_1_iter11_b. Agree or Disagree - Other professional or organisation - The justification for the decision/outcome was clearly explained to me"</v>
      </c>
    </row>
    <row r="375" spans="1:8" x14ac:dyDescent="0.2">
      <c r="A375" s="5" t="s">
        <v>1139</v>
      </c>
      <c r="B375" s="9">
        <v>374</v>
      </c>
      <c r="C375" s="10" t="s">
        <v>1140</v>
      </c>
      <c r="E375" s="23" t="s">
        <v>1141</v>
      </c>
      <c r="H375" s="19" t="str">
        <f t="shared" si="7"/>
        <v>label var q29_1_it11_c "Q29_1_iter11_c. Agree or Disagree - Other professional or organisation - The process was efficient"</v>
      </c>
    </row>
    <row r="376" spans="1:8" x14ac:dyDescent="0.2">
      <c r="A376" s="5" t="s">
        <v>1142</v>
      </c>
      <c r="B376" s="9">
        <v>375</v>
      </c>
      <c r="C376" s="10" t="s">
        <v>1143</v>
      </c>
      <c r="E376" s="23" t="s">
        <v>1144</v>
      </c>
      <c r="H376" s="19" t="str">
        <f t="shared" si="7"/>
        <v>label var q29_1_it11_d "Q29_1_iter11_d. Agree or Disagree - Other professional or organisation - The process was affordable"</v>
      </c>
    </row>
    <row r="377" spans="1:8" ht="30" x14ac:dyDescent="0.2">
      <c r="A377" s="5" t="s">
        <v>1145</v>
      </c>
      <c r="B377" s="9">
        <v>376</v>
      </c>
      <c r="C377" s="10" t="s">
        <v>1146</v>
      </c>
      <c r="E377" s="23" t="s">
        <v>1147</v>
      </c>
      <c r="H377" s="19" t="str">
        <f t="shared" si="7"/>
        <v>label var q29_1_it11_e "Q29_1_iter11_e. Agree or Disagree - Other professional or organisation - The duration/length of the process was reasonable"</v>
      </c>
    </row>
    <row r="378" spans="1:8" x14ac:dyDescent="0.2">
      <c r="A378" s="5" t="s">
        <v>1148</v>
      </c>
      <c r="B378" s="9">
        <v>377</v>
      </c>
      <c r="C378" s="10" t="s">
        <v>1149</v>
      </c>
      <c r="E378" s="23" t="s">
        <v>1150</v>
      </c>
      <c r="H378" s="19" t="str">
        <f t="shared" si="7"/>
        <v>label var q29_1_it11_f "Q29_1_iter11_f. Agree or Disagree - Other professional or organisation - The process was fair"</v>
      </c>
    </row>
    <row r="379" spans="1:8" x14ac:dyDescent="0.2">
      <c r="A379" s="5" t="s">
        <v>1151</v>
      </c>
      <c r="B379" s="9">
        <v>378</v>
      </c>
      <c r="C379" s="10" t="s">
        <v>1152</v>
      </c>
      <c r="E379" s="23" t="s">
        <v>1153</v>
      </c>
      <c r="H379" s="19" t="str">
        <f t="shared" si="7"/>
        <v>label var q29_1_it11_g "Q29_1_iter11_g. Agree or Disagree - Other professional or organisation - The outcome was fair"</v>
      </c>
    </row>
    <row r="380" spans="1:8" x14ac:dyDescent="0.2">
      <c r="A380" s="5" t="s">
        <v>1154</v>
      </c>
      <c r="B380" s="9">
        <v>379</v>
      </c>
      <c r="C380" s="10" t="s">
        <v>1155</v>
      </c>
      <c r="E380" s="23" t="s">
        <v>1156</v>
      </c>
      <c r="H380" s="19" t="str">
        <f t="shared" si="7"/>
        <v>label var q29_1_it11_h "Q29_1_iter11_h. Agree or Disagree - Other professional or organisation - &lt;&gt; was helpful"</v>
      </c>
    </row>
    <row r="381" spans="1:8" ht="30" x14ac:dyDescent="0.2">
      <c r="A381" s="5" t="s">
        <v>1157</v>
      </c>
      <c r="B381" s="9">
        <v>380</v>
      </c>
      <c r="C381" s="10" t="s">
        <v>1158</v>
      </c>
      <c r="E381" s="23" t="s">
        <v>1159</v>
      </c>
      <c r="H381" s="19" t="str">
        <f t="shared" si="7"/>
        <v>label var q29_1_it11_i "Q29_1_iter11_i. Agree or Disagree - Other professional or organisation - &lt;&gt; took my concerns and experiences seriously"</v>
      </c>
    </row>
    <row r="382" spans="1:8" x14ac:dyDescent="0.2">
      <c r="A382" s="5" t="s">
        <v>1160</v>
      </c>
      <c r="B382" s="9">
        <v>381</v>
      </c>
      <c r="C382" s="10" t="s">
        <v>1161</v>
      </c>
      <c r="E382" s="23" t="s">
        <v>1162</v>
      </c>
      <c r="H382" s="19" t="str">
        <f t="shared" si="7"/>
        <v>label var q29_2_it01_a "Q29_2_iter01_a. Agree / disagree - I received the decision/outcome of the process in writing"</v>
      </c>
    </row>
    <row r="383" spans="1:8" x14ac:dyDescent="0.2">
      <c r="A383" s="5" t="s">
        <v>1163</v>
      </c>
      <c r="B383" s="9">
        <v>382</v>
      </c>
      <c r="C383" s="10" t="s">
        <v>1164</v>
      </c>
      <c r="E383" s="23" t="s">
        <v>1165</v>
      </c>
      <c r="H383" s="19" t="str">
        <f t="shared" si="7"/>
        <v>label var q29_2_it01_b "Q29_2_iter01_b. Agree / disagree - I could have appealed the decision/outcome"</v>
      </c>
    </row>
    <row r="384" spans="1:8" x14ac:dyDescent="0.2">
      <c r="A384" s="5" t="s">
        <v>1166</v>
      </c>
      <c r="B384" s="9">
        <v>383</v>
      </c>
      <c r="C384" s="10" t="s">
        <v>1167</v>
      </c>
      <c r="E384" s="23" t="s">
        <v>1168</v>
      </c>
      <c r="H384" s="19" t="str">
        <f t="shared" si="7"/>
        <v>label var q29_2_it01_c "Q29_2_iter01_c. Agree / disagree - I was represented by a lawyer"</v>
      </c>
    </row>
    <row r="385" spans="1:8" x14ac:dyDescent="0.2">
      <c r="A385" s="5" t="s">
        <v>1169</v>
      </c>
      <c r="B385" s="9">
        <v>384</v>
      </c>
      <c r="C385" s="10" t="s">
        <v>1170</v>
      </c>
      <c r="E385" s="23" t="s">
        <v>1171</v>
      </c>
      <c r="H385" s="19" t="str">
        <f t="shared" si="7"/>
        <v>label var q29_2_it01_d "Q29_2_iter01_d. Agree / disagree - I was represented by another advisor, person or organisation"</v>
      </c>
    </row>
    <row r="386" spans="1:8" x14ac:dyDescent="0.2">
      <c r="A386" s="5" t="s">
        <v>1172</v>
      </c>
      <c r="B386" s="9">
        <v>385</v>
      </c>
      <c r="C386" s="10" t="s">
        <v>1173</v>
      </c>
      <c r="E386" s="23" t="s">
        <v>1174</v>
      </c>
      <c r="H386" s="19" t="str">
        <f t="shared" si="7"/>
        <v>label var q29_2_it02_a "Q29_2_iter02_a. Agree / disagree - I received the decision/outcome of the process in writing"</v>
      </c>
    </row>
    <row r="387" spans="1:8" x14ac:dyDescent="0.2">
      <c r="A387" s="5" t="s">
        <v>1175</v>
      </c>
      <c r="B387" s="9">
        <v>386</v>
      </c>
      <c r="C387" s="10" t="s">
        <v>1176</v>
      </c>
      <c r="E387" s="23" t="s">
        <v>1177</v>
      </c>
      <c r="H387" s="19" t="str">
        <f t="shared" ref="H387:H450" si="8">_xlfn.CONCAT("label var ",A387," ",$H$1,C387,$H$1)</f>
        <v>label var q29_2_it02_b "Q29_2_iter02_b. Agree / disagree - I could have appealed the decision/outcome"</v>
      </c>
    </row>
    <row r="388" spans="1:8" x14ac:dyDescent="0.2">
      <c r="A388" s="5" t="s">
        <v>1178</v>
      </c>
      <c r="B388" s="9">
        <v>387</v>
      </c>
      <c r="C388" s="10" t="s">
        <v>1179</v>
      </c>
      <c r="E388" s="23" t="s">
        <v>1180</v>
      </c>
      <c r="H388" s="19" t="str">
        <f t="shared" si="8"/>
        <v>label var q29_2_it02_c "Q29_2_iter02_c. Agree / disagree - I was represented by a lawyer"</v>
      </c>
    </row>
    <row r="389" spans="1:8" x14ac:dyDescent="0.2">
      <c r="A389" s="5" t="s">
        <v>1181</v>
      </c>
      <c r="B389" s="9">
        <v>388</v>
      </c>
      <c r="C389" s="10" t="s">
        <v>1182</v>
      </c>
      <c r="E389" s="23" t="s">
        <v>1183</v>
      </c>
      <c r="H389" s="19" t="str">
        <f t="shared" si="8"/>
        <v>label var q29_2_it02_d "Q29_2_iter02_d. Agree / disagree - I was represented by another advisor, person or organisation"</v>
      </c>
    </row>
    <row r="390" spans="1:8" x14ac:dyDescent="0.2">
      <c r="A390" s="5" t="s">
        <v>1184</v>
      </c>
      <c r="B390" s="9">
        <v>389</v>
      </c>
      <c r="C390" s="10" t="s">
        <v>1185</v>
      </c>
      <c r="E390" s="23" t="s">
        <v>1186</v>
      </c>
      <c r="H390" s="19" t="str">
        <f t="shared" si="8"/>
        <v>label var q29_2_it03_a "Q29_2_iter03_a. Agree / disagree - I received the decision/outcome of the process in writing"</v>
      </c>
    </row>
    <row r="391" spans="1:8" x14ac:dyDescent="0.2">
      <c r="A391" s="5" t="s">
        <v>1187</v>
      </c>
      <c r="B391" s="9">
        <v>390</v>
      </c>
      <c r="C391" s="10" t="s">
        <v>1188</v>
      </c>
      <c r="E391" s="23" t="s">
        <v>1189</v>
      </c>
      <c r="H391" s="19" t="str">
        <f t="shared" si="8"/>
        <v>label var q29_2_it03_b "Q29_2_iter03_b. Agree / disagree - I could have appealed the decision/outcome"</v>
      </c>
    </row>
    <row r="392" spans="1:8" x14ac:dyDescent="0.2">
      <c r="A392" s="5" t="s">
        <v>1190</v>
      </c>
      <c r="B392" s="9">
        <v>391</v>
      </c>
      <c r="C392" s="10" t="s">
        <v>1191</v>
      </c>
      <c r="E392" s="23" t="s">
        <v>1192</v>
      </c>
      <c r="H392" s="19" t="str">
        <f t="shared" si="8"/>
        <v>label var q29_2_it03_c "Q29_2_iter03_c. Agree / disagree - I was represented by a lawyer"</v>
      </c>
    </row>
    <row r="393" spans="1:8" x14ac:dyDescent="0.2">
      <c r="A393" s="5" t="s">
        <v>1193</v>
      </c>
      <c r="B393" s="9">
        <v>392</v>
      </c>
      <c r="C393" s="10" t="s">
        <v>1194</v>
      </c>
      <c r="E393" s="23" t="s">
        <v>1195</v>
      </c>
      <c r="H393" s="19" t="str">
        <f t="shared" si="8"/>
        <v>label var q29_2_it03_d "Q29_2_iter03_d. Agree / disagree - I was represented by another advisor, person or organisation"</v>
      </c>
    </row>
    <row r="394" spans="1:8" x14ac:dyDescent="0.2">
      <c r="A394" s="5" t="s">
        <v>1196</v>
      </c>
      <c r="B394" s="9">
        <v>393</v>
      </c>
      <c r="C394" s="10" t="s">
        <v>1197</v>
      </c>
      <c r="E394" s="23" t="s">
        <v>1198</v>
      </c>
      <c r="H394" s="19" t="str">
        <f t="shared" si="8"/>
        <v>label var q29_2_it04_a "Q29_2_iter04_a. Agree / disagree - I received the decision/outcome of the process in writing"</v>
      </c>
    </row>
    <row r="395" spans="1:8" x14ac:dyDescent="0.2">
      <c r="A395" s="5" t="s">
        <v>1199</v>
      </c>
      <c r="B395" s="9">
        <v>394</v>
      </c>
      <c r="C395" s="10" t="s">
        <v>1200</v>
      </c>
      <c r="E395" s="23" t="s">
        <v>1201</v>
      </c>
      <c r="H395" s="19" t="str">
        <f t="shared" si="8"/>
        <v>label var q29_2_it04_b "Q29_2_iter04_b. Agree / disagree - I could have appealed the decision/outcome"</v>
      </c>
    </row>
    <row r="396" spans="1:8" x14ac:dyDescent="0.2">
      <c r="A396" s="5" t="s">
        <v>1202</v>
      </c>
      <c r="B396" s="9">
        <v>395</v>
      </c>
      <c r="C396" s="10" t="s">
        <v>1203</v>
      </c>
      <c r="E396" s="23" t="s">
        <v>1204</v>
      </c>
      <c r="H396" s="19" t="str">
        <f t="shared" si="8"/>
        <v>label var q29_2_it04_c "Q29_2_iter04_c. Agree / disagree - I was represented by a lawyer"</v>
      </c>
    </row>
    <row r="397" spans="1:8" x14ac:dyDescent="0.2">
      <c r="A397" s="5" t="s">
        <v>1205</v>
      </c>
      <c r="B397" s="9">
        <v>396</v>
      </c>
      <c r="C397" s="10" t="s">
        <v>1206</v>
      </c>
      <c r="E397" s="23" t="s">
        <v>1207</v>
      </c>
      <c r="H397" s="19" t="str">
        <f t="shared" si="8"/>
        <v>label var q29_2_it04_d "Q29_2_iter04_d. Agree / disagree - I was represented by another advisor, person or organisation"</v>
      </c>
    </row>
    <row r="398" spans="1:8" x14ac:dyDescent="0.2">
      <c r="A398" s="5" t="s">
        <v>1208</v>
      </c>
      <c r="B398" s="9">
        <v>397</v>
      </c>
      <c r="C398" s="10" t="s">
        <v>1209</v>
      </c>
      <c r="E398" s="23" t="s">
        <v>1210</v>
      </c>
      <c r="H398" s="19" t="str">
        <f t="shared" si="8"/>
        <v>label var q29_2_it05_a "Q29_2_iter05_a. Agree / disagree - I received the decision/outcome of the process in writing"</v>
      </c>
    </row>
    <row r="399" spans="1:8" x14ac:dyDescent="0.2">
      <c r="A399" s="5" t="s">
        <v>1211</v>
      </c>
      <c r="B399" s="9">
        <v>398</v>
      </c>
      <c r="C399" s="10" t="s">
        <v>1212</v>
      </c>
      <c r="E399" s="23" t="s">
        <v>1213</v>
      </c>
      <c r="H399" s="19" t="str">
        <f t="shared" si="8"/>
        <v>label var q29_2_it05_b "Q29_2_iter05_b. Agree / disagree - I could have appealed the decision/outcome"</v>
      </c>
    </row>
    <row r="400" spans="1:8" x14ac:dyDescent="0.2">
      <c r="A400" s="5" t="s">
        <v>1214</v>
      </c>
      <c r="B400" s="9">
        <v>399</v>
      </c>
      <c r="C400" s="10" t="s">
        <v>1215</v>
      </c>
      <c r="E400" s="23" t="s">
        <v>1216</v>
      </c>
      <c r="H400" s="19" t="str">
        <f t="shared" si="8"/>
        <v>label var q29_2_it05_c "Q29_2_iter05_c. Agree / disagree - I was represented by a lawyer"</v>
      </c>
    </row>
    <row r="401" spans="1:8" x14ac:dyDescent="0.2">
      <c r="A401" s="5" t="s">
        <v>1217</v>
      </c>
      <c r="B401" s="9">
        <v>400</v>
      </c>
      <c r="C401" s="10" t="s">
        <v>1218</v>
      </c>
      <c r="E401" s="23" t="s">
        <v>1219</v>
      </c>
      <c r="H401" s="19" t="str">
        <f t="shared" si="8"/>
        <v>label var q29_2_it05_d "Q29_2_iter05_d. Agree / disagree - I was represented by another advisor, person or organisation"</v>
      </c>
    </row>
    <row r="402" spans="1:8" x14ac:dyDescent="0.2">
      <c r="A402" s="5" t="s">
        <v>1220</v>
      </c>
      <c r="B402" s="9">
        <v>401</v>
      </c>
      <c r="C402" s="10" t="s">
        <v>1221</v>
      </c>
      <c r="E402" s="23" t="s">
        <v>1222</v>
      </c>
      <c r="H402" s="19" t="str">
        <f t="shared" si="8"/>
        <v>label var q29_2_it06_a "Q29_2_iter06_a. Agree / disagree - I received the decision/outcome of the process in writing"</v>
      </c>
    </row>
    <row r="403" spans="1:8" x14ac:dyDescent="0.2">
      <c r="A403" s="5" t="s">
        <v>1223</v>
      </c>
      <c r="B403" s="9">
        <v>402</v>
      </c>
      <c r="C403" s="10" t="s">
        <v>1224</v>
      </c>
      <c r="E403" s="23" t="s">
        <v>1225</v>
      </c>
      <c r="H403" s="19" t="str">
        <f t="shared" si="8"/>
        <v>label var q29_2_it06_b "Q29_2_iter06_b. Agree / disagree - I could have appealed the decision/outcome"</v>
      </c>
    </row>
    <row r="404" spans="1:8" x14ac:dyDescent="0.2">
      <c r="A404" s="5" t="s">
        <v>1226</v>
      </c>
      <c r="B404" s="9">
        <v>403</v>
      </c>
      <c r="C404" s="10" t="s">
        <v>1227</v>
      </c>
      <c r="E404" s="23" t="s">
        <v>1228</v>
      </c>
      <c r="H404" s="19" t="str">
        <f t="shared" si="8"/>
        <v>label var q29_2_it06_c "Q29_2_iter06_c. Agree / disagree - I was represented by a lawyer"</v>
      </c>
    </row>
    <row r="405" spans="1:8" x14ac:dyDescent="0.2">
      <c r="A405" s="5" t="s">
        <v>1229</v>
      </c>
      <c r="B405" s="9">
        <v>404</v>
      </c>
      <c r="C405" s="10" t="s">
        <v>1230</v>
      </c>
      <c r="E405" s="23" t="s">
        <v>1231</v>
      </c>
      <c r="H405" s="19" t="str">
        <f t="shared" si="8"/>
        <v>label var q29_2_it06_d "Q29_2_iter06_d. Agree / disagree - I was represented by another advisor, person or organisation"</v>
      </c>
    </row>
    <row r="406" spans="1:8" x14ac:dyDescent="0.2">
      <c r="A406" s="5" t="s">
        <v>1232</v>
      </c>
      <c r="B406" s="9">
        <v>405</v>
      </c>
      <c r="C406" s="10" t="s">
        <v>1233</v>
      </c>
      <c r="E406" s="23" t="s">
        <v>1234</v>
      </c>
      <c r="H406" s="19" t="str">
        <f t="shared" si="8"/>
        <v>label var q29_2_it07_a "Q29_2_iter07_a. Agree / disagree - I received the decision/outcome of the process in writing"</v>
      </c>
    </row>
    <row r="407" spans="1:8" x14ac:dyDescent="0.2">
      <c r="A407" s="5" t="s">
        <v>1235</v>
      </c>
      <c r="B407" s="9">
        <v>406</v>
      </c>
      <c r="C407" s="10" t="s">
        <v>1236</v>
      </c>
      <c r="E407" s="23" t="s">
        <v>1237</v>
      </c>
      <c r="H407" s="19" t="str">
        <f t="shared" si="8"/>
        <v>label var q29_2_it07_b "Q29_2_iter07_b. Agree / disagree - I could have appealed the decision/outcome"</v>
      </c>
    </row>
    <row r="408" spans="1:8" x14ac:dyDescent="0.2">
      <c r="A408" s="5" t="s">
        <v>1238</v>
      </c>
      <c r="B408" s="9">
        <v>407</v>
      </c>
      <c r="C408" s="10" t="s">
        <v>1239</v>
      </c>
      <c r="E408" s="23" t="s">
        <v>1240</v>
      </c>
      <c r="H408" s="19" t="str">
        <f t="shared" si="8"/>
        <v>label var q29_2_it07_c "Q29_2_iter07_c. Agree / disagree - I was represented by a lawyer"</v>
      </c>
    </row>
    <row r="409" spans="1:8" x14ac:dyDescent="0.2">
      <c r="A409" s="5" t="s">
        <v>1241</v>
      </c>
      <c r="B409" s="9">
        <v>408</v>
      </c>
      <c r="C409" s="10" t="s">
        <v>1242</v>
      </c>
      <c r="E409" s="23" t="s">
        <v>1243</v>
      </c>
      <c r="H409" s="19" t="str">
        <f t="shared" si="8"/>
        <v>label var q29_2_it07_d "Q29_2_iter07_d. Agree / disagree - I was represented by another advisor, person or organisation"</v>
      </c>
    </row>
    <row r="410" spans="1:8" x14ac:dyDescent="0.2">
      <c r="A410" s="5" t="s">
        <v>1244</v>
      </c>
      <c r="B410" s="9">
        <v>409</v>
      </c>
      <c r="C410" s="10" t="s">
        <v>1245</v>
      </c>
      <c r="E410" s="23" t="s">
        <v>1246</v>
      </c>
      <c r="H410" s="19" t="str">
        <f t="shared" si="8"/>
        <v>label var q29_2_it08_a "Q29_2_iter08_a. Agree / disagree - I received the decision/outcome of the process in writing"</v>
      </c>
    </row>
    <row r="411" spans="1:8" x14ac:dyDescent="0.2">
      <c r="A411" s="5" t="s">
        <v>1247</v>
      </c>
      <c r="B411" s="9">
        <v>410</v>
      </c>
      <c r="C411" s="10" t="s">
        <v>1248</v>
      </c>
      <c r="E411" s="23" t="s">
        <v>1249</v>
      </c>
      <c r="H411" s="19" t="str">
        <f t="shared" si="8"/>
        <v>label var q29_2_it08_b "Q29_2_iter08_b. Agree / disagree - I could have appealed the decision/outcome"</v>
      </c>
    </row>
    <row r="412" spans="1:8" x14ac:dyDescent="0.2">
      <c r="A412" s="5" t="s">
        <v>1250</v>
      </c>
      <c r="B412" s="9">
        <v>411</v>
      </c>
      <c r="C412" s="10" t="s">
        <v>1251</v>
      </c>
      <c r="E412" s="23" t="s">
        <v>1252</v>
      </c>
      <c r="H412" s="19" t="str">
        <f t="shared" si="8"/>
        <v>label var q29_2_it08_c "Q29_2_iter08_c. Agree / disagree - I was represented by a lawyer"</v>
      </c>
    </row>
    <row r="413" spans="1:8" x14ac:dyDescent="0.2">
      <c r="A413" s="5" t="s">
        <v>1253</v>
      </c>
      <c r="B413" s="9">
        <v>412</v>
      </c>
      <c r="C413" s="10" t="s">
        <v>1254</v>
      </c>
      <c r="E413" s="23" t="s">
        <v>1255</v>
      </c>
      <c r="H413" s="19" t="str">
        <f t="shared" si="8"/>
        <v>label var q29_2_it08_d "Q29_2_iter08_d. Agree / disagree - I was represented by another advisor, person or organisation"</v>
      </c>
    </row>
    <row r="414" spans="1:8" x14ac:dyDescent="0.2">
      <c r="A414" s="5" t="s">
        <v>1256</v>
      </c>
      <c r="B414" s="9">
        <v>413</v>
      </c>
      <c r="C414" s="10" t="s">
        <v>1257</v>
      </c>
      <c r="E414" s="23" t="s">
        <v>1258</v>
      </c>
      <c r="H414" s="19" t="str">
        <f t="shared" si="8"/>
        <v>label var q29_2_it09_a "Q29_2_iter09_a. Agree / disagree - I received the decision/outcome of the process in writing"</v>
      </c>
    </row>
    <row r="415" spans="1:8" x14ac:dyDescent="0.2">
      <c r="A415" s="5" t="s">
        <v>1259</v>
      </c>
      <c r="B415" s="9">
        <v>414</v>
      </c>
      <c r="C415" s="10" t="s">
        <v>1260</v>
      </c>
      <c r="E415" s="23" t="s">
        <v>1261</v>
      </c>
      <c r="H415" s="19" t="str">
        <f t="shared" si="8"/>
        <v>label var q29_2_it09_b "Q29_2_iter09_b. Agree / disagree - I could have appealed the decision/outcome"</v>
      </c>
    </row>
    <row r="416" spans="1:8" x14ac:dyDescent="0.2">
      <c r="A416" s="5" t="s">
        <v>1262</v>
      </c>
      <c r="B416" s="9">
        <v>415</v>
      </c>
      <c r="C416" s="10" t="s">
        <v>1263</v>
      </c>
      <c r="E416" s="23" t="s">
        <v>1264</v>
      </c>
      <c r="H416" s="19" t="str">
        <f t="shared" si="8"/>
        <v>label var q29_2_it09_c "Q29_2_iter09_c. Agree / disagree - I was represented by a lawyer"</v>
      </c>
    </row>
    <row r="417" spans="1:9" x14ac:dyDescent="0.2">
      <c r="A417" s="5" t="s">
        <v>1265</v>
      </c>
      <c r="B417" s="9">
        <v>416</v>
      </c>
      <c r="C417" s="10" t="s">
        <v>1266</v>
      </c>
      <c r="E417" s="23" t="s">
        <v>1267</v>
      </c>
      <c r="H417" s="19" t="str">
        <f t="shared" si="8"/>
        <v>label var q29_2_it09_d "Q29_2_iter09_d. Agree / disagree - I was represented by another advisor, person or organisation"</v>
      </c>
    </row>
    <row r="418" spans="1:9" x14ac:dyDescent="0.2">
      <c r="A418" s="5" t="s">
        <v>1268</v>
      </c>
      <c r="B418" s="9">
        <v>417</v>
      </c>
      <c r="C418" s="10" t="s">
        <v>1269</v>
      </c>
      <c r="E418" s="23" t="s">
        <v>1270</v>
      </c>
      <c r="H418" s="19" t="str">
        <f t="shared" si="8"/>
        <v>label var q29_2_it11_a "Q29_2_iter11_a. Agree / disagree - I received the decision/outcome of the process in writing"</v>
      </c>
    </row>
    <row r="419" spans="1:9" x14ac:dyDescent="0.2">
      <c r="A419" s="5" t="s">
        <v>1271</v>
      </c>
      <c r="B419" s="9">
        <v>418</v>
      </c>
      <c r="C419" s="10" t="s">
        <v>1272</v>
      </c>
      <c r="E419" s="23" t="s">
        <v>1273</v>
      </c>
      <c r="H419" s="19" t="str">
        <f t="shared" si="8"/>
        <v>label var q29_2_it11_b "Q29_2_iter11_b. Agree / disagree - I could have appealed the decision/outcome"</v>
      </c>
    </row>
    <row r="420" spans="1:9" x14ac:dyDescent="0.2">
      <c r="A420" s="5" t="s">
        <v>1274</v>
      </c>
      <c r="B420" s="9">
        <v>419</v>
      </c>
      <c r="C420" s="10" t="s">
        <v>1275</v>
      </c>
      <c r="E420" s="23" t="s">
        <v>1276</v>
      </c>
      <c r="H420" s="19" t="str">
        <f t="shared" si="8"/>
        <v>label var q29_2_it11_c "Q29_2_iter11_c. Agree / disagree - I was represented by a lawyer"</v>
      </c>
    </row>
    <row r="421" spans="1:9" x14ac:dyDescent="0.2">
      <c r="A421" s="5" t="s">
        <v>1277</v>
      </c>
      <c r="B421" s="9">
        <v>420</v>
      </c>
      <c r="C421" s="10" t="s">
        <v>1278</v>
      </c>
      <c r="E421" s="23" t="s">
        <v>1279</v>
      </c>
      <c r="H421" s="19" t="str">
        <f t="shared" si="8"/>
        <v>label var q29_2_it11_d "Q29_2_iter11_d. Agree / disagree - I was represented by another advisor, person or organisation"</v>
      </c>
    </row>
    <row r="422" spans="1:9" x14ac:dyDescent="0.2">
      <c r="A422" s="5" t="s">
        <v>1280</v>
      </c>
      <c r="B422" s="9">
        <v>421</v>
      </c>
      <c r="C422" s="10" t="s">
        <v>1281</v>
      </c>
      <c r="D422" s="19" t="s">
        <v>1282</v>
      </c>
      <c r="E422" s="23" t="s">
        <v>1282</v>
      </c>
      <c r="G422" s="19" t="s">
        <v>1283</v>
      </c>
      <c r="H422" s="19" t="str">
        <f t="shared" si="8"/>
        <v>label var q28 "Q28. Which of the following best reflects how the issue resolution was brought about? Select the first that applies."</v>
      </c>
    </row>
    <row r="423" spans="1:9" ht="30" x14ac:dyDescent="0.2">
      <c r="A423" s="5" t="s">
        <v>1284</v>
      </c>
      <c r="B423" s="9">
        <v>422</v>
      </c>
      <c r="C423" s="10" t="s">
        <v>1285</v>
      </c>
      <c r="D423" s="19" t="s">
        <v>906</v>
      </c>
      <c r="E423" s="19" t="s">
        <v>906</v>
      </c>
      <c r="H423" s="19" t="str">
        <f t="shared" si="8"/>
        <v>label var q30 "Q30. Regardless of the outcome of this issue, do you feel the process through which the outcome was reached was overall fair or unfair to everybody concerned?"</v>
      </c>
    </row>
    <row r="424" spans="1:9" ht="30" x14ac:dyDescent="0.2">
      <c r="A424" s="5" t="s">
        <v>1286</v>
      </c>
      <c r="B424" s="9">
        <v>423</v>
      </c>
      <c r="C424" s="10" t="s">
        <v>1287</v>
      </c>
      <c r="D424" s="20" t="s">
        <v>1288</v>
      </c>
      <c r="E424" s="23" t="s">
        <v>1288</v>
      </c>
      <c r="H424" s="19" t="str">
        <f t="shared" si="8"/>
        <v>label var q31_1 "Q31. To what extent do you agree or disagree with the following statements about experiencing the issue? - I understood or came / have come to understand my rights and responsibilities"</v>
      </c>
      <c r="I424" s="19" t="str">
        <f>_xlfn.CONCAT("rename ", A424," ",D424)</f>
        <v>rename q31_1 AJE_legalrights</v>
      </c>
    </row>
    <row r="425" spans="1:9" ht="30" x14ac:dyDescent="0.2">
      <c r="A425" s="5" t="s">
        <v>1289</v>
      </c>
      <c r="B425" s="9">
        <v>424</v>
      </c>
      <c r="C425" s="10" t="s">
        <v>1290</v>
      </c>
      <c r="D425" s="20" t="s">
        <v>1291</v>
      </c>
      <c r="E425" s="23" t="s">
        <v>1291</v>
      </c>
      <c r="H425" s="19" t="str">
        <f t="shared" si="8"/>
        <v>label var q31_2 "Q31. To what extent do you agree or disagree with the following statements about experiencing the issue? - I knew / know where to get good information and advice about resolving issues"</v>
      </c>
      <c r="I425" s="19" t="str">
        <f t="shared" ref="I425:I427" si="9">_xlfn.CONCAT("rename ", A425," ",D425)</f>
        <v>rename q31_2 AJE_infosource</v>
      </c>
    </row>
    <row r="426" spans="1:9" ht="30" x14ac:dyDescent="0.2">
      <c r="A426" s="5" t="s">
        <v>1292</v>
      </c>
      <c r="B426" s="9">
        <v>425</v>
      </c>
      <c r="C426" s="10" t="s">
        <v>1293</v>
      </c>
      <c r="D426" s="20" t="s">
        <v>1294</v>
      </c>
      <c r="E426" s="23" t="s">
        <v>1294</v>
      </c>
      <c r="H426" s="19" t="str">
        <f t="shared" si="8"/>
        <v>label var q31_3 "Q31. To what extent do you agree or disagree with the following statements about experiencing the issue? - I was able / have been able to get all the expert help that I needed"</v>
      </c>
      <c r="I426" s="19" t="str">
        <f t="shared" si="9"/>
        <v>rename q31_3 AJE_advice</v>
      </c>
    </row>
    <row r="427" spans="1:9" ht="30" x14ac:dyDescent="0.2">
      <c r="A427" s="5" t="s">
        <v>1295</v>
      </c>
      <c r="B427" s="9">
        <v>426</v>
      </c>
      <c r="C427" s="10" t="s">
        <v>1296</v>
      </c>
      <c r="D427" s="20" t="s">
        <v>1297</v>
      </c>
      <c r="E427" s="23" t="s">
        <v>1297</v>
      </c>
      <c r="H427" s="19" t="str">
        <f t="shared" si="8"/>
        <v>label var q31_4 "Q31. To what extent do you agree or disagree with the following statements about experiencing the issue? - I was / am confident I could achieve a fair outcome"</v>
      </c>
      <c r="I427" s="19" t="str">
        <f t="shared" si="9"/>
        <v>rename q31_4 AJE_fairoutcome</v>
      </c>
    </row>
    <row r="428" spans="1:9" x14ac:dyDescent="0.2">
      <c r="A428" s="5" t="s">
        <v>1298</v>
      </c>
      <c r="B428" s="9">
        <v>427</v>
      </c>
      <c r="C428" s="10" t="s">
        <v>1299</v>
      </c>
      <c r="D428" s="20"/>
      <c r="E428" s="23" t="s">
        <v>1300</v>
      </c>
      <c r="H428" s="19" t="str">
        <f t="shared" si="8"/>
        <v>label var q32_1 "Q32_1. Overall, how much impact has experiencing this issue, or trying to deal with this issue, had on you?"</v>
      </c>
    </row>
    <row r="429" spans="1:9" ht="30" x14ac:dyDescent="0.2">
      <c r="A429" s="5" t="s">
        <v>1301</v>
      </c>
      <c r="B429" s="9">
        <v>428</v>
      </c>
      <c r="C429" s="10" t="s">
        <v>1302</v>
      </c>
      <c r="D429" s="20" t="s">
        <v>1303</v>
      </c>
      <c r="E429" s="23" t="s">
        <v>1304</v>
      </c>
      <c r="H429" s="19" t="str">
        <f t="shared" si="8"/>
        <v>label var q32_01 "Q32. Did you experience any of the following because of, or from trying to deal with, this issue? - Health difficulties or injury"</v>
      </c>
    </row>
    <row r="430" spans="1:9" ht="30" x14ac:dyDescent="0.2">
      <c r="A430" s="5" t="s">
        <v>1305</v>
      </c>
      <c r="B430" s="9">
        <v>429</v>
      </c>
      <c r="C430" s="10" t="s">
        <v>1306</v>
      </c>
      <c r="D430" s="20" t="s">
        <v>1303</v>
      </c>
      <c r="E430" s="23" t="s">
        <v>1307</v>
      </c>
      <c r="H430" s="19" t="str">
        <f t="shared" si="8"/>
        <v>label var q32_02 "Q32. Did you experience any of the following because of, or from trying to deal with, this issue? - Stress or emotional strain"</v>
      </c>
    </row>
    <row r="431" spans="1:9" ht="30" x14ac:dyDescent="0.2">
      <c r="A431" s="5" t="s">
        <v>1308</v>
      </c>
      <c r="B431" s="9">
        <v>430</v>
      </c>
      <c r="C431" s="10" t="s">
        <v>1309</v>
      </c>
      <c r="D431" s="20" t="s">
        <v>1310</v>
      </c>
      <c r="E431" s="23" t="s">
        <v>1311</v>
      </c>
      <c r="H431" s="19" t="str">
        <f t="shared" si="8"/>
        <v>label var q32_03 "Q32. Did you experience any of the following because of, or from trying to deal with, this issue? - Damage to personal or family relationships"</v>
      </c>
    </row>
    <row r="432" spans="1:9" ht="30" x14ac:dyDescent="0.2">
      <c r="A432" s="5" t="s">
        <v>1312</v>
      </c>
      <c r="B432" s="9">
        <v>431</v>
      </c>
      <c r="C432" s="10" t="s">
        <v>1313</v>
      </c>
      <c r="E432" s="23" t="s">
        <v>1314</v>
      </c>
      <c r="H432" s="19" t="str">
        <f t="shared" si="8"/>
        <v>label var q32_04 "Q32. Did you experience any of the following because of, or from trying to deal with, this issue? - Being threatened or feeling unsafe"</v>
      </c>
    </row>
    <row r="433" spans="1:9" x14ac:dyDescent="0.2">
      <c r="A433" s="5" t="s">
        <v>1315</v>
      </c>
      <c r="B433" s="9">
        <v>432</v>
      </c>
      <c r="C433" s="10" t="s">
        <v>1316</v>
      </c>
      <c r="E433" s="23" t="s">
        <v>1317</v>
      </c>
      <c r="H433" s="19" t="str">
        <f t="shared" si="8"/>
        <v>label var q32_05 "Q32. Did you experience any of the following because of, or from trying to deal with, this issue? - Damage to property"</v>
      </c>
    </row>
    <row r="434" spans="1:9" ht="30" x14ac:dyDescent="0.2">
      <c r="A434" s="5" t="s">
        <v>1318</v>
      </c>
      <c r="B434" s="9">
        <v>433</v>
      </c>
      <c r="C434" s="10" t="s">
        <v>1319</v>
      </c>
      <c r="E434" s="23" t="s">
        <v>1320</v>
      </c>
      <c r="H434" s="19" t="str">
        <f t="shared" si="8"/>
        <v>label var q32_06 "Q32. Did you experience any of the following because of, or from trying to deal with, this issue? - Changes to your housing situation"</v>
      </c>
    </row>
    <row r="435" spans="1:9" x14ac:dyDescent="0.2">
      <c r="A435" s="5" t="s">
        <v>1321</v>
      </c>
      <c r="B435" s="9">
        <v>434</v>
      </c>
      <c r="C435" s="10" t="s">
        <v>1322</v>
      </c>
      <c r="D435" s="20" t="s">
        <v>1323</v>
      </c>
      <c r="E435" s="23" t="s">
        <v>1324</v>
      </c>
      <c r="H435" s="19" t="str">
        <f t="shared" si="8"/>
        <v>label var q32_07 "Q32. Did you experience any of the following because of, or from trying to deal with, this issue? - Loss of employment"</v>
      </c>
    </row>
    <row r="436" spans="1:9" x14ac:dyDescent="0.2">
      <c r="A436" s="5" t="s">
        <v>1325</v>
      </c>
      <c r="B436" s="9">
        <v>435</v>
      </c>
      <c r="C436" s="10" t="s">
        <v>1326</v>
      </c>
      <c r="D436" s="20" t="s">
        <v>1323</v>
      </c>
      <c r="E436" s="23" t="s">
        <v>1327</v>
      </c>
      <c r="H436" s="19" t="str">
        <f t="shared" si="8"/>
        <v>label var q32_08 "Q32. Did you experience any of the following because of, or from trying to deal with, this issue? - Loss of money"</v>
      </c>
    </row>
    <row r="437" spans="1:9" ht="30" x14ac:dyDescent="0.2">
      <c r="A437" s="5" t="s">
        <v>1328</v>
      </c>
      <c r="B437" s="9">
        <v>436</v>
      </c>
      <c r="C437" s="10" t="s">
        <v>1329</v>
      </c>
      <c r="E437" s="23" t="s">
        <v>1330</v>
      </c>
      <c r="H437" s="19" t="str">
        <f t="shared" si="8"/>
        <v>label var q32_09 "Q32. Did you experience any of the following because of, or from trying to deal with, this issue? - Loss of confidence or fear"</v>
      </c>
    </row>
    <row r="438" spans="1:9" ht="30" x14ac:dyDescent="0.2">
      <c r="A438" s="5" t="s">
        <v>1331</v>
      </c>
      <c r="B438" s="9">
        <v>437</v>
      </c>
      <c r="C438" s="10" t="s">
        <v>1332</v>
      </c>
      <c r="D438" s="20" t="s">
        <v>1303</v>
      </c>
      <c r="E438" s="23" t="s">
        <v>1333</v>
      </c>
      <c r="H438" s="19" t="str">
        <f t="shared" si="8"/>
        <v>label var q32_10 "Q32. Did you experience any of the following because of, or from trying to deal with, this issue? - Deterioration in mental health (e.g. anxiety, depression)"</v>
      </c>
    </row>
    <row r="439" spans="1:9" ht="30" x14ac:dyDescent="0.2">
      <c r="A439" s="5" t="s">
        <v>1334</v>
      </c>
      <c r="B439" s="9">
        <v>438</v>
      </c>
      <c r="C439" s="10" t="s">
        <v>1335</v>
      </c>
      <c r="E439" s="23" t="s">
        <v>1336</v>
      </c>
      <c r="H439" s="19" t="str">
        <f t="shared" si="8"/>
        <v>label var q32_11 "Q32. Did you experience any of the following because of, or from trying to deal with, this issue? - Feeling isolated or loss of support networks"</v>
      </c>
    </row>
    <row r="440" spans="1:9" ht="30" x14ac:dyDescent="0.2">
      <c r="A440" s="5" t="s">
        <v>1337</v>
      </c>
      <c r="B440" s="9">
        <v>439</v>
      </c>
      <c r="C440" s="10" t="s">
        <v>1338</v>
      </c>
      <c r="D440" s="20" t="s">
        <v>1339</v>
      </c>
      <c r="E440" s="23" t="s">
        <v>1340</v>
      </c>
      <c r="H440" s="19" t="str">
        <f t="shared" si="8"/>
        <v>label var q32_12 "Q32. Did you experience any of the following because of, or from trying to deal with, this issue? - Use of addictive substances (e.g. alcohol or drugs)"</v>
      </c>
    </row>
    <row r="441" spans="1:9" ht="30" x14ac:dyDescent="0.2">
      <c r="A441" s="5" t="s">
        <v>1341</v>
      </c>
      <c r="B441" s="9">
        <v>440</v>
      </c>
      <c r="C441" s="10" t="s">
        <v>1342</v>
      </c>
      <c r="E441" s="23" t="s">
        <v>1343</v>
      </c>
      <c r="H441" s="19" t="str">
        <f t="shared" si="8"/>
        <v>label var q32_13 "Q32. Did you experience any of the following because of, or from trying to deal with, this issue? - Delay or disruption to education or training"</v>
      </c>
    </row>
    <row r="442" spans="1:9" ht="30" x14ac:dyDescent="0.2">
      <c r="A442" s="5" t="s">
        <v>1344</v>
      </c>
      <c r="B442" s="9">
        <v>441</v>
      </c>
      <c r="C442" s="10" t="s">
        <v>1345</v>
      </c>
      <c r="E442" s="23" t="s">
        <v>1346</v>
      </c>
      <c r="H442" s="19" t="str">
        <f t="shared" si="8"/>
        <v>label var q32_14 "Q32. Did you experience any of the following because of, or from trying to deal with, this issue? - Delay or disruption in accessing public services (e.g. healthcare, social services)"</v>
      </c>
    </row>
    <row r="443" spans="1:9" ht="30" x14ac:dyDescent="0.2">
      <c r="A443" s="5" t="s">
        <v>1347</v>
      </c>
      <c r="B443" s="9">
        <v>442</v>
      </c>
      <c r="C443" s="10" t="s">
        <v>1348</v>
      </c>
      <c r="E443" s="23" t="s">
        <v>1349</v>
      </c>
      <c r="H443" s="19" t="str">
        <f t="shared" si="8"/>
        <v>label var q32_15 "Q32. Did you experience any of the following because of, or from trying to deal with, this issue? - Finding everyday activities more difficult"</v>
      </c>
    </row>
    <row r="444" spans="1:9" ht="30" x14ac:dyDescent="0.2">
      <c r="A444" s="5" t="s">
        <v>1350</v>
      </c>
      <c r="B444" s="9">
        <v>443</v>
      </c>
      <c r="C444" s="10" t="s">
        <v>1351</v>
      </c>
      <c r="E444" s="23" t="s">
        <v>1352</v>
      </c>
      <c r="H444" s="19" t="str">
        <f t="shared" si="8"/>
        <v>label var q32_16 "Q32. Did you experience any of the following because of, or from trying to deal with, this issue? - Feeling less trust in public institutions (e.g. justice system, police, government)"</v>
      </c>
    </row>
    <row r="445" spans="1:9" x14ac:dyDescent="0.2">
      <c r="A445" s="5" t="s">
        <v>1353</v>
      </c>
      <c r="B445" s="9">
        <v>444</v>
      </c>
      <c r="C445" s="10" t="s">
        <v>1354</v>
      </c>
      <c r="D445" s="21" t="s">
        <v>1355</v>
      </c>
      <c r="E445" s="23" t="s">
        <v>1355</v>
      </c>
      <c r="H445" s="19" t="str">
        <f t="shared" si="8"/>
        <v>label var q15 "Q15. Do you have any long-term health conditions that limit your ability to carry out everyday activities?"</v>
      </c>
      <c r="I445" s="19" t="str">
        <f>IF(D445="","",_xlfn.CONCAT("rename ", A445," ",D445))</f>
        <v>rename q15 disability</v>
      </c>
    </row>
    <row r="446" spans="1:9" x14ac:dyDescent="0.2">
      <c r="A446" s="5" t="s">
        <v>1356</v>
      </c>
      <c r="B446" s="9">
        <v>445</v>
      </c>
      <c r="C446" s="10" t="s">
        <v>1357</v>
      </c>
      <c r="D446" s="19" t="s">
        <v>1358</v>
      </c>
      <c r="E446" s="23" t="s">
        <v>1358</v>
      </c>
      <c r="H446" s="19" t="str">
        <f t="shared" si="8"/>
        <v>label var q14 "Q14. What is your ethnic group/background?"</v>
      </c>
      <c r="I446" s="19" t="str">
        <f t="shared" ref="I446:I480" si="10">IF(D446="","",_xlfn.CONCAT("rename ", A446," ",D446))</f>
        <v>rename q14 ethni</v>
      </c>
    </row>
    <row r="447" spans="1:9" x14ac:dyDescent="0.2">
      <c r="A447" s="5" t="s">
        <v>1359</v>
      </c>
      <c r="B447" s="9">
        <v>446</v>
      </c>
      <c r="C447" s="10" t="s">
        <v>1360</v>
      </c>
      <c r="D447" s="19" t="s">
        <v>1361</v>
      </c>
      <c r="E447" s="23" t="s">
        <v>1361</v>
      </c>
      <c r="H447" s="19" t="str">
        <f t="shared" si="8"/>
        <v>label var q06 "Q6. Are you an Irish citizen?"</v>
      </c>
      <c r="I447" s="19" t="str">
        <f t="shared" si="10"/>
        <v>rename q06 nation</v>
      </c>
    </row>
    <row r="448" spans="1:9" ht="30" x14ac:dyDescent="0.2">
      <c r="A448" s="5" t="s">
        <v>1362</v>
      </c>
      <c r="B448" s="9">
        <v>447</v>
      </c>
      <c r="C448" s="10" t="s">
        <v>1363</v>
      </c>
      <c r="E448" s="23" t="s">
        <v>1364</v>
      </c>
      <c r="H448" s="19" t="str">
        <f t="shared" si="8"/>
        <v>label var q10 "Q10. Other than holidays or short visits abroad, since which year have you been living in the Republic of Ireland continuously?"</v>
      </c>
      <c r="I448" s="19" t="str">
        <f t="shared" si="10"/>
        <v/>
      </c>
    </row>
    <row r="449" spans="1:9" x14ac:dyDescent="0.2">
      <c r="A449" s="5" t="s">
        <v>1365</v>
      </c>
      <c r="B449" s="9">
        <v>448</v>
      </c>
      <c r="C449" s="10" t="s">
        <v>1366</v>
      </c>
      <c r="D449" s="21" t="s">
        <v>1367</v>
      </c>
      <c r="E449" s="23" t="s">
        <v>1367</v>
      </c>
      <c r="H449" s="19" t="str">
        <f t="shared" si="8"/>
        <v>label var q05 "Q5. Which of the following best describes your current status?"</v>
      </c>
      <c r="I449" s="19" t="str">
        <f t="shared" si="10"/>
        <v>rename q05 marital</v>
      </c>
    </row>
    <row r="450" spans="1:9" x14ac:dyDescent="0.2">
      <c r="A450" s="5" t="s">
        <v>1368</v>
      </c>
      <c r="B450" s="9">
        <v>449</v>
      </c>
      <c r="C450" s="10" t="s">
        <v>1369</v>
      </c>
      <c r="D450" s="21" t="s">
        <v>1370</v>
      </c>
      <c r="E450" s="23" t="s">
        <v>1371</v>
      </c>
      <c r="H450" s="19" t="str">
        <f t="shared" si="8"/>
        <v>label var q19_1 "Q19_1. How many adults aged 18 or over (including yourself) live in your household?"</v>
      </c>
      <c r="I450" s="19" t="str">
        <f t="shared" si="10"/>
        <v>rename q19_1 A1</v>
      </c>
    </row>
    <row r="451" spans="1:9" x14ac:dyDescent="0.2">
      <c r="A451" s="5" t="s">
        <v>1372</v>
      </c>
      <c r="B451" s="9">
        <v>450</v>
      </c>
      <c r="C451" s="10" t="s">
        <v>1373</v>
      </c>
      <c r="D451" s="21" t="s">
        <v>1370</v>
      </c>
      <c r="E451" s="23" t="s">
        <v>1374</v>
      </c>
      <c r="G451" s="19" t="s">
        <v>1375</v>
      </c>
      <c r="H451" s="19" t="str">
        <f t="shared" ref="H451:H480" si="11">_xlfn.CONCAT("label var ",A451," ",$H$1,C451,$H$1)</f>
        <v>label var q19_2 "Q19_2. How many children aged under 18 live in your household, at least some of the time?"</v>
      </c>
      <c r="I451" s="19" t="str">
        <f t="shared" si="10"/>
        <v>rename q19_2 A1</v>
      </c>
    </row>
    <row r="452" spans="1:9" x14ac:dyDescent="0.2">
      <c r="A452" s="5" t="s">
        <v>1376</v>
      </c>
      <c r="B452" s="9">
        <v>451</v>
      </c>
      <c r="C452" s="10" t="s">
        <v>1377</v>
      </c>
      <c r="E452" s="23" t="s">
        <v>1378</v>
      </c>
      <c r="H452" s="19" t="str">
        <f t="shared" si="11"/>
        <v>label var q19_3 "Q19_3. Do any of the children that live in your household, sometimes live in another household?"</v>
      </c>
      <c r="I452" s="19" t="str">
        <f t="shared" si="10"/>
        <v/>
      </c>
    </row>
    <row r="453" spans="1:9" x14ac:dyDescent="0.2">
      <c r="A453" s="5" t="s">
        <v>1379</v>
      </c>
      <c r="B453" s="9">
        <v>452</v>
      </c>
      <c r="C453" s="10" t="s">
        <v>1380</v>
      </c>
      <c r="D453" s="21" t="s">
        <v>1381</v>
      </c>
      <c r="E453" s="23" t="s">
        <v>1381</v>
      </c>
      <c r="H453" s="19" t="str">
        <f t="shared" si="11"/>
        <v>label var q20 "Q20. Approximately what is the total of your household income, from all sources including benefits, before tax?"</v>
      </c>
      <c r="I453" s="19" t="str">
        <f t="shared" si="10"/>
        <v>rename q20 income</v>
      </c>
    </row>
    <row r="454" spans="1:9" x14ac:dyDescent="0.2">
      <c r="A454" s="5" t="s">
        <v>1382</v>
      </c>
      <c r="B454" s="9">
        <v>453</v>
      </c>
      <c r="C454" s="10" t="s">
        <v>1383</v>
      </c>
      <c r="E454" s="23" t="s">
        <v>17</v>
      </c>
      <c r="H454" s="19" t="str">
        <f t="shared" si="11"/>
        <v>label var q03actual "Q3. Actual"</v>
      </c>
      <c r="I454" s="19" t="str">
        <f t="shared" si="10"/>
        <v/>
      </c>
    </row>
    <row r="455" spans="1:9" x14ac:dyDescent="0.2">
      <c r="A455" s="5" t="s">
        <v>1384</v>
      </c>
      <c r="B455" s="9">
        <v>454</v>
      </c>
      <c r="C455" s="10" t="s">
        <v>1385</v>
      </c>
      <c r="E455" s="23" t="s">
        <v>1386</v>
      </c>
      <c r="H455" s="19" t="str">
        <f t="shared" si="11"/>
        <v>label var q10actual "Q10. Actual"</v>
      </c>
      <c r="I455" s="19" t="str">
        <f t="shared" si="10"/>
        <v/>
      </c>
    </row>
    <row r="456" spans="1:9" x14ac:dyDescent="0.2">
      <c r="A456" s="5" t="s">
        <v>1387</v>
      </c>
      <c r="B456" s="9">
        <v>455</v>
      </c>
      <c r="C456" s="10" t="s">
        <v>1388</v>
      </c>
      <c r="E456" s="23" t="s">
        <v>1370</v>
      </c>
      <c r="H456" s="19" t="str">
        <f t="shared" si="11"/>
        <v>label var q19_1actual "Q19_1. Actual"</v>
      </c>
      <c r="I456" s="19" t="str">
        <f t="shared" si="10"/>
        <v/>
      </c>
    </row>
    <row r="457" spans="1:9" x14ac:dyDescent="0.2">
      <c r="A457" s="5" t="s">
        <v>1389</v>
      </c>
      <c r="B457" s="9">
        <v>456</v>
      </c>
      <c r="C457" s="10" t="s">
        <v>1390</v>
      </c>
      <c r="E457" s="23" t="s">
        <v>1391</v>
      </c>
      <c r="H457" s="19" t="str">
        <f t="shared" si="11"/>
        <v>label var q19_2actual "Q19_2. Actual"</v>
      </c>
      <c r="I457" s="19" t="str">
        <f t="shared" si="10"/>
        <v/>
      </c>
    </row>
    <row r="458" spans="1:9" x14ac:dyDescent="0.2">
      <c r="A458" s="5" t="s">
        <v>1392</v>
      </c>
      <c r="B458" s="9">
        <v>457</v>
      </c>
      <c r="C458" s="10" t="s">
        <v>1392</v>
      </c>
      <c r="E458" s="23" t="s">
        <v>1393</v>
      </c>
      <c r="H458" s="19" t="str">
        <f t="shared" si="11"/>
        <v>label var Q17_oth "Q17_oth"</v>
      </c>
      <c r="I458" s="19" t="str">
        <f t="shared" si="10"/>
        <v/>
      </c>
    </row>
    <row r="459" spans="1:9" x14ac:dyDescent="0.2">
      <c r="A459" s="5" t="s">
        <v>1394</v>
      </c>
      <c r="B459" s="9">
        <v>458</v>
      </c>
      <c r="C459" s="10" t="s">
        <v>1394</v>
      </c>
      <c r="E459" s="23" t="s">
        <v>1395</v>
      </c>
      <c r="H459" s="19" t="str">
        <f t="shared" si="11"/>
        <v>label var Q24_1_oth "Q24_1_oth"</v>
      </c>
      <c r="I459" s="19" t="str">
        <f t="shared" si="10"/>
        <v/>
      </c>
    </row>
    <row r="460" spans="1:9" x14ac:dyDescent="0.2">
      <c r="A460" s="5" t="s">
        <v>1396</v>
      </c>
      <c r="B460" s="9">
        <v>459</v>
      </c>
      <c r="C460" s="10" t="s">
        <v>1396</v>
      </c>
      <c r="E460" s="23" t="s">
        <v>1397</v>
      </c>
      <c r="H460" s="19" t="str">
        <f t="shared" si="11"/>
        <v>label var Q24_2_month "Q24_2_month"</v>
      </c>
      <c r="I460" s="19" t="str">
        <f t="shared" si="10"/>
        <v/>
      </c>
    </row>
    <row r="461" spans="1:9" x14ac:dyDescent="0.2">
      <c r="A461" s="5" t="s">
        <v>1398</v>
      </c>
      <c r="B461" s="9">
        <v>460</v>
      </c>
      <c r="C461" s="10" t="s">
        <v>1398</v>
      </c>
      <c r="E461" s="23" t="s">
        <v>1399</v>
      </c>
      <c r="H461" s="19" t="str">
        <f t="shared" si="11"/>
        <v>label var Q24_2_year "Q24_2_year"</v>
      </c>
      <c r="I461" s="19" t="str">
        <f t="shared" si="10"/>
        <v/>
      </c>
    </row>
    <row r="462" spans="1:9" x14ac:dyDescent="0.2">
      <c r="A462" s="5" t="s">
        <v>1400</v>
      </c>
      <c r="B462" s="9">
        <v>461</v>
      </c>
      <c r="C462" s="10" t="s">
        <v>1400</v>
      </c>
      <c r="H462" s="19" t="str">
        <f t="shared" si="11"/>
        <v>label var Q24_2_DKNA "Q24_2_DKNA"</v>
      </c>
      <c r="I462" s="19" t="str">
        <f t="shared" si="10"/>
        <v/>
      </c>
    </row>
    <row r="463" spans="1:9" x14ac:dyDescent="0.2">
      <c r="A463" s="5" t="s">
        <v>1401</v>
      </c>
      <c r="B463" s="9">
        <v>462</v>
      </c>
      <c r="C463" s="10" t="s">
        <v>1401</v>
      </c>
      <c r="E463" s="23" t="s">
        <v>1402</v>
      </c>
      <c r="H463" s="19" t="str">
        <f t="shared" si="11"/>
        <v>label var Q24_3_month "Q24_3_month"</v>
      </c>
      <c r="I463" s="19" t="str">
        <f t="shared" si="10"/>
        <v/>
      </c>
    </row>
    <row r="464" spans="1:9" x14ac:dyDescent="0.2">
      <c r="A464" s="5" t="s">
        <v>1403</v>
      </c>
      <c r="B464" s="9">
        <v>463</v>
      </c>
      <c r="C464" s="10" t="s">
        <v>1403</v>
      </c>
      <c r="E464" s="23" t="s">
        <v>1404</v>
      </c>
      <c r="H464" s="19" t="str">
        <f t="shared" si="11"/>
        <v>label var Q24_3_year "Q24_3_year"</v>
      </c>
      <c r="I464" s="19" t="str">
        <f t="shared" si="10"/>
        <v/>
      </c>
    </row>
    <row r="465" spans="1:9" x14ac:dyDescent="0.2">
      <c r="A465" s="5" t="s">
        <v>1405</v>
      </c>
      <c r="B465" s="9">
        <v>464</v>
      </c>
      <c r="C465" s="10" t="s">
        <v>1405</v>
      </c>
      <c r="H465" s="19" t="str">
        <f t="shared" si="11"/>
        <v>label var Q24_3_DKNA "Q24_3_DKNA"</v>
      </c>
      <c r="I465" s="19" t="str">
        <f t="shared" si="10"/>
        <v/>
      </c>
    </row>
    <row r="466" spans="1:9" ht="30" x14ac:dyDescent="0.2">
      <c r="A466" s="5" t="s">
        <v>1406</v>
      </c>
      <c r="B466" s="9">
        <v>465</v>
      </c>
      <c r="C466" s="10" t="s">
        <v>1406</v>
      </c>
      <c r="E466" s="23" t="s">
        <v>1407</v>
      </c>
      <c r="H466" s="19" t="str">
        <f t="shared" si="11"/>
        <v>label var Q25_3_oth "Q25_3_oth"</v>
      </c>
      <c r="I466" s="19" t="str">
        <f t="shared" si="10"/>
        <v/>
      </c>
    </row>
    <row r="467" spans="1:9" ht="30" x14ac:dyDescent="0.2">
      <c r="A467" s="5" t="s">
        <v>1408</v>
      </c>
      <c r="B467" s="9">
        <v>466</v>
      </c>
      <c r="C467" s="10" t="s">
        <v>1409</v>
      </c>
      <c r="E467" s="23" t="s">
        <v>1410</v>
      </c>
      <c r="H467" s="19" t="str">
        <f t="shared" si="11"/>
        <v>label var Q25_4 "Q25_4. Please specify which organisations or people helped you"</v>
      </c>
      <c r="I467" s="19" t="str">
        <f t="shared" si="10"/>
        <v/>
      </c>
    </row>
    <row r="468" spans="1:9" x14ac:dyDescent="0.2">
      <c r="A468" s="5" t="s">
        <v>1411</v>
      </c>
      <c r="B468" s="9">
        <v>467</v>
      </c>
      <c r="C468" s="10" t="s">
        <v>1412</v>
      </c>
      <c r="E468" s="23" t="s">
        <v>1413</v>
      </c>
      <c r="H468" s="19" t="str">
        <f t="shared" si="11"/>
        <v>label var Q25_5_3 "Q25_5_3. Have done something"</v>
      </c>
      <c r="I468" s="19" t="str">
        <f t="shared" si="10"/>
        <v/>
      </c>
    </row>
    <row r="469" spans="1:9" x14ac:dyDescent="0.2">
      <c r="A469" s="5" t="s">
        <v>1414</v>
      </c>
      <c r="B469" s="9">
        <v>468</v>
      </c>
      <c r="C469" s="10" t="s">
        <v>1414</v>
      </c>
      <c r="E469" s="23" t="s">
        <v>1415</v>
      </c>
      <c r="H469" s="19" t="str">
        <f t="shared" si="11"/>
        <v>label var Q25_6_oth "Q25_6_oth"</v>
      </c>
      <c r="I469" s="19" t="str">
        <f t="shared" si="10"/>
        <v/>
      </c>
    </row>
    <row r="470" spans="1:9" ht="30" x14ac:dyDescent="0.2">
      <c r="A470" s="5" t="s">
        <v>1416</v>
      </c>
      <c r="B470" s="9">
        <v>469</v>
      </c>
      <c r="C470" s="10" t="s">
        <v>1416</v>
      </c>
      <c r="E470" s="23" t="s">
        <v>1417</v>
      </c>
      <c r="H470" s="19" t="str">
        <f t="shared" si="11"/>
        <v>label var Q27_oth "Q27_oth"</v>
      </c>
      <c r="I470" s="19" t="str">
        <f t="shared" si="10"/>
        <v/>
      </c>
    </row>
    <row r="471" spans="1:9" x14ac:dyDescent="0.2">
      <c r="A471" s="5" t="s">
        <v>1418</v>
      </c>
      <c r="B471" s="9">
        <v>470</v>
      </c>
      <c r="C471" s="10" t="s">
        <v>1418</v>
      </c>
      <c r="E471" s="23" t="s">
        <v>1419</v>
      </c>
      <c r="H471" s="19" t="str">
        <f t="shared" si="11"/>
        <v>label var Q28_oth "Q28_oth"</v>
      </c>
      <c r="I471" s="19" t="str">
        <f t="shared" si="10"/>
        <v/>
      </c>
    </row>
    <row r="472" spans="1:9" ht="30" x14ac:dyDescent="0.2">
      <c r="A472" s="5" t="s">
        <v>1420</v>
      </c>
      <c r="B472" s="9">
        <v>471</v>
      </c>
      <c r="C472" s="10" t="s">
        <v>1421</v>
      </c>
      <c r="E472" s="23" t="s">
        <v>1422</v>
      </c>
      <c r="H472" s="19" t="str">
        <f t="shared" si="11"/>
        <v>label var Q34_1 "Q34_1. Can you name up to three organisations that you know provide free or affordable assistance for people facing issues?"</v>
      </c>
      <c r="I472" s="19" t="str">
        <f t="shared" si="10"/>
        <v/>
      </c>
    </row>
    <row r="473" spans="1:9" ht="30" x14ac:dyDescent="0.2">
      <c r="A473" s="5" t="s">
        <v>1423</v>
      </c>
      <c r="B473" s="9">
        <v>472</v>
      </c>
      <c r="C473" s="10" t="s">
        <v>1424</v>
      </c>
      <c r="E473" s="23" t="s">
        <v>1425</v>
      </c>
      <c r="H473" s="19" t="str">
        <f t="shared" si="11"/>
        <v>label var Q34_2 "Q34_2. Can you name up to three organisations that you know provide free or affordable assistance for people facing issues?"</v>
      </c>
      <c r="I473" s="19" t="str">
        <f t="shared" si="10"/>
        <v/>
      </c>
    </row>
    <row r="474" spans="1:9" ht="30" x14ac:dyDescent="0.2">
      <c r="A474" s="5" t="s">
        <v>1426</v>
      </c>
      <c r="B474" s="9">
        <v>473</v>
      </c>
      <c r="C474" s="10" t="s">
        <v>1427</v>
      </c>
      <c r="E474" s="23" t="s">
        <v>1428</v>
      </c>
      <c r="H474" s="19" t="str">
        <f t="shared" si="11"/>
        <v>label var Q34_3 "Q34_3. Can you name up to three organisations that you know provide free or affordable assistance for people facing issues?"</v>
      </c>
      <c r="I474" s="19" t="str">
        <f t="shared" si="10"/>
        <v/>
      </c>
    </row>
    <row r="475" spans="1:9" x14ac:dyDescent="0.2">
      <c r="A475" s="5" t="s">
        <v>1429</v>
      </c>
      <c r="B475" s="9">
        <v>474</v>
      </c>
      <c r="C475" s="10" t="s">
        <v>1429</v>
      </c>
      <c r="E475" s="23"/>
      <c r="H475" s="19" t="str">
        <f t="shared" si="11"/>
        <v>label var Q34_DKNA "Q34_DKNA"</v>
      </c>
      <c r="I475" s="19" t="str">
        <f t="shared" si="10"/>
        <v/>
      </c>
    </row>
    <row r="476" spans="1:9" x14ac:dyDescent="0.2">
      <c r="A476" s="5" t="s">
        <v>1430</v>
      </c>
      <c r="B476" s="9">
        <v>475</v>
      </c>
      <c r="C476" s="10" t="s">
        <v>1431</v>
      </c>
      <c r="E476" s="23" t="s">
        <v>1432</v>
      </c>
      <c r="H476" s="19" t="str">
        <f t="shared" si="11"/>
        <v>label var Q14_4 "Q14_4. Any other White background"</v>
      </c>
      <c r="I476" s="19" t="str">
        <f t="shared" si="10"/>
        <v/>
      </c>
    </row>
    <row r="477" spans="1:9" x14ac:dyDescent="0.2">
      <c r="A477" s="5" t="s">
        <v>1433</v>
      </c>
      <c r="B477" s="9">
        <v>476</v>
      </c>
      <c r="C477" s="10" t="s">
        <v>1434</v>
      </c>
      <c r="E477" s="23" t="s">
        <v>1435</v>
      </c>
      <c r="H477" s="19" t="str">
        <f t="shared" si="11"/>
        <v>label var Q14_7 "Q14_7. Any other Black background"</v>
      </c>
      <c r="I477" s="19" t="str">
        <f t="shared" si="10"/>
        <v/>
      </c>
    </row>
    <row r="478" spans="1:9" x14ac:dyDescent="0.2">
      <c r="A478" s="5" t="s">
        <v>1436</v>
      </c>
      <c r="B478" s="9">
        <v>477</v>
      </c>
      <c r="C478" s="10" t="s">
        <v>1437</v>
      </c>
      <c r="E478" s="23" t="s">
        <v>1438</v>
      </c>
      <c r="H478" s="19" t="str">
        <f t="shared" si="11"/>
        <v>label var Q14_11 "Q14_11. Any other Asian background"</v>
      </c>
      <c r="I478" s="19" t="str">
        <f t="shared" si="10"/>
        <v/>
      </c>
    </row>
    <row r="479" spans="1:9" x14ac:dyDescent="0.2">
      <c r="A479" s="5" t="s">
        <v>1439</v>
      </c>
      <c r="B479" s="9">
        <v>478</v>
      </c>
      <c r="C479" s="10" t="s">
        <v>1440</v>
      </c>
      <c r="E479" s="23" t="s">
        <v>1441</v>
      </c>
      <c r="H479" s="19" t="str">
        <f t="shared" si="11"/>
        <v>label var Q14_13 "Q14_13. Mixed group/background"</v>
      </c>
      <c r="I479" s="19" t="str">
        <f t="shared" si="10"/>
        <v/>
      </c>
    </row>
    <row r="480" spans="1:9" x14ac:dyDescent="0.2">
      <c r="A480" s="6" t="s">
        <v>1442</v>
      </c>
      <c r="B480" s="11">
        <v>479</v>
      </c>
      <c r="C480" s="12" t="s">
        <v>1443</v>
      </c>
      <c r="E480" s="23" t="s">
        <v>1444</v>
      </c>
      <c r="H480" s="19" t="str">
        <f t="shared" si="11"/>
        <v>label var Q14_14 "Q14_14. Other group/background"</v>
      </c>
      <c r="I480" s="19" t="str">
        <f t="shared" si="10"/>
        <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840C9-E4AC-4B2B-9A25-88C8949C53E0}">
  <dimension ref="A1:E2537"/>
  <sheetViews>
    <sheetView workbookViewId="0">
      <pane xSplit="4" ySplit="1" topLeftCell="E1299" activePane="bottomRight" state="frozen"/>
      <selection pane="topRight" activeCell="C1" sqref="C1"/>
      <selection pane="bottomLeft" activeCell="A2" sqref="A2"/>
      <selection pane="bottomRight" activeCell="B1311" sqref="B1311:B1312"/>
    </sheetView>
  </sheetViews>
  <sheetFormatPr defaultColWidth="9.28515625" defaultRowHeight="15" x14ac:dyDescent="0.25"/>
  <cols>
    <col min="1" max="1" width="29.42578125" style="22" bestFit="1" customWidth="1"/>
    <col min="2" max="2" width="59.42578125" style="22" customWidth="1"/>
    <col min="3" max="3" width="29.42578125" style="22" bestFit="1" customWidth="1"/>
    <col min="4" max="4" width="11.42578125" style="31" customWidth="1"/>
    <col min="5" max="5" width="81.5703125" style="22" customWidth="1"/>
    <col min="6" max="6" width="18.5703125" style="22" customWidth="1"/>
    <col min="7" max="7" width="11.42578125" style="22" customWidth="1"/>
    <col min="8" max="8" width="17.42578125" style="22" customWidth="1"/>
    <col min="9" max="9" width="13.140625" style="22" customWidth="1"/>
    <col min="10" max="10" width="15.28515625" style="22" customWidth="1"/>
    <col min="11" max="11" width="15.85546875" style="22" customWidth="1"/>
    <col min="12" max="12" width="18.5703125" style="22" customWidth="1"/>
    <col min="13" max="16384" width="9.28515625" style="22"/>
  </cols>
  <sheetData>
    <row r="1" spans="1:5" ht="15.75" x14ac:dyDescent="0.25">
      <c r="A1" s="28" t="s">
        <v>4</v>
      </c>
      <c r="B1" s="28" t="s">
        <v>1445</v>
      </c>
      <c r="C1" s="32" t="s">
        <v>1446</v>
      </c>
      <c r="D1" s="33"/>
      <c r="E1" s="13" t="s">
        <v>2</v>
      </c>
    </row>
    <row r="2" spans="1:5" x14ac:dyDescent="0.25">
      <c r="A2" s="37" t="str">
        <f>VLOOKUP($C2,'Variable Information'!$A$2:$E$480,5,FALSE)</f>
        <v>gend</v>
      </c>
      <c r="B2" s="37" t="str">
        <f>VLOOKUP($C2,'Variable Information'!$A$1:$C$480,3,FALSE)</f>
        <v>Q11. Gender. Do you identify as:</v>
      </c>
      <c r="C2" s="34" t="s">
        <v>12</v>
      </c>
      <c r="D2" s="29" t="s">
        <v>1447</v>
      </c>
      <c r="E2" s="14" t="s">
        <v>1448</v>
      </c>
    </row>
    <row r="3" spans="1:5" x14ac:dyDescent="0.25">
      <c r="A3" s="36" t="e">
        <f>VLOOKUP($C3,'Variable Information'!$A$2:$E$480,5,FALSE)</f>
        <v>#N/A</v>
      </c>
      <c r="B3" s="36" t="e">
        <f>VLOOKUP($C3,'Variable Information'!$A$1:$C$480,3,FALSE)</f>
        <v>#N/A</v>
      </c>
      <c r="C3" s="35"/>
      <c r="D3" s="30" t="s">
        <v>1449</v>
      </c>
      <c r="E3" s="15" t="s">
        <v>1450</v>
      </c>
    </row>
    <row r="4" spans="1:5" x14ac:dyDescent="0.25">
      <c r="A4" s="36" t="e">
        <f>VLOOKUP($C4,'Variable Information'!$A$2:$E$480,5,FALSE)</f>
        <v>#N/A</v>
      </c>
      <c r="B4" s="36" t="e">
        <f>VLOOKUP($C4,'Variable Information'!$A$1:$C$480,3,FALSE)</f>
        <v>#N/A</v>
      </c>
      <c r="C4" s="35"/>
      <c r="D4" s="30" t="s">
        <v>1451</v>
      </c>
      <c r="E4" s="15" t="s">
        <v>1452</v>
      </c>
    </row>
    <row r="5" spans="1:5" x14ac:dyDescent="0.25">
      <c r="A5" s="36" t="str">
        <f>VLOOKUP($C5,'Variable Information'!$A$2:$E$480,5,FALSE)</f>
        <v>age</v>
      </c>
      <c r="B5" s="36" t="str">
        <f>VLOOKUP($C5,'Variable Information'!$A$1:$C$480,3,FALSE)</f>
        <v>Q3. Age</v>
      </c>
      <c r="C5" s="35" t="s">
        <v>15</v>
      </c>
      <c r="D5" s="30" t="s">
        <v>1447</v>
      </c>
      <c r="E5" s="15" t="s">
        <v>1453</v>
      </c>
    </row>
    <row r="6" spans="1:5" x14ac:dyDescent="0.25">
      <c r="A6" s="36" t="e">
        <f>VLOOKUP($C6,'Variable Information'!$A$2:$E$480,5,FALSE)</f>
        <v>#N/A</v>
      </c>
      <c r="B6" s="36" t="e">
        <f>VLOOKUP($C6,'Variable Information'!$A$1:$C$480,3,FALSE)</f>
        <v>#N/A</v>
      </c>
      <c r="C6" s="35"/>
      <c r="D6" s="30" t="s">
        <v>1449</v>
      </c>
      <c r="E6" s="15" t="s">
        <v>1454</v>
      </c>
    </row>
    <row r="7" spans="1:5" x14ac:dyDescent="0.25">
      <c r="A7" s="36" t="e">
        <f>VLOOKUP($C7,'Variable Information'!$A$2:$E$480,5,FALSE)</f>
        <v>#N/A</v>
      </c>
      <c r="B7" s="36" t="e">
        <f>VLOOKUP($C7,'Variable Information'!$A$1:$C$480,3,FALSE)</f>
        <v>#N/A</v>
      </c>
      <c r="C7" s="35"/>
      <c r="D7" s="30" t="s">
        <v>1451</v>
      </c>
      <c r="E7" s="15" t="s">
        <v>1455</v>
      </c>
    </row>
    <row r="8" spans="1:5" x14ac:dyDescent="0.25">
      <c r="A8" s="36" t="e">
        <f>VLOOKUP($C8,'Variable Information'!$A$2:$E$480,5,FALSE)</f>
        <v>#N/A</v>
      </c>
      <c r="B8" s="36" t="e">
        <f>VLOOKUP($C8,'Variable Information'!$A$1:$C$480,3,FALSE)</f>
        <v>#N/A</v>
      </c>
      <c r="C8" s="35"/>
      <c r="D8" s="30" t="s">
        <v>1456</v>
      </c>
      <c r="E8" s="15" t="s">
        <v>1457</v>
      </c>
    </row>
    <row r="9" spans="1:5" x14ac:dyDescent="0.25">
      <c r="A9" s="36" t="e">
        <f>VLOOKUP($C9,'Variable Information'!$A$2:$E$480,5,FALSE)</f>
        <v>#N/A</v>
      </c>
      <c r="B9" s="36" t="e">
        <f>VLOOKUP($C9,'Variable Information'!$A$1:$C$480,3,FALSE)</f>
        <v>#N/A</v>
      </c>
      <c r="C9" s="35"/>
      <c r="D9" s="30" t="s">
        <v>1458</v>
      </c>
      <c r="E9" s="15" t="s">
        <v>1459</v>
      </c>
    </row>
    <row r="10" spans="1:5" x14ac:dyDescent="0.25">
      <c r="A10" s="36" t="e">
        <f>VLOOKUP($C10,'Variable Information'!$A$2:$E$480,5,FALSE)</f>
        <v>#N/A</v>
      </c>
      <c r="B10" s="36" t="e">
        <f>VLOOKUP($C10,'Variable Information'!$A$1:$C$480,3,FALSE)</f>
        <v>#N/A</v>
      </c>
      <c r="C10" s="35"/>
      <c r="D10" s="30" t="s">
        <v>1460</v>
      </c>
      <c r="E10" s="15" t="s">
        <v>1461</v>
      </c>
    </row>
    <row r="11" spans="1:5" x14ac:dyDescent="0.25">
      <c r="A11" s="36" t="e">
        <f>VLOOKUP($C11,'Variable Information'!$A$2:$E$480,5,FALSE)</f>
        <v>#N/A</v>
      </c>
      <c r="B11" s="36" t="e">
        <f>VLOOKUP($C11,'Variable Information'!$A$1:$C$480,3,FALSE)</f>
        <v>#N/A</v>
      </c>
      <c r="C11" s="35"/>
      <c r="D11" s="30" t="s">
        <v>1462</v>
      </c>
      <c r="E11" s="15" t="s">
        <v>1463</v>
      </c>
    </row>
    <row r="12" spans="1:5" x14ac:dyDescent="0.25">
      <c r="A12" s="36" t="str">
        <f>VLOOKUP($C12,'Variable Information'!$A$2:$E$480,5,FALSE)</f>
        <v>edu</v>
      </c>
      <c r="B12" s="36" t="str">
        <f>VLOOKUP($C12,'Variable Information'!$A$1:$C$480,3,FALSE)</f>
        <v>Q18. Which of the following is the highest level of education or training you have completed?</v>
      </c>
      <c r="C12" s="35" t="s">
        <v>18</v>
      </c>
      <c r="D12" s="30" t="s">
        <v>1447</v>
      </c>
      <c r="E12" s="15" t="s">
        <v>1464</v>
      </c>
    </row>
    <row r="13" spans="1:5" x14ac:dyDescent="0.25">
      <c r="A13" s="36" t="e">
        <f>VLOOKUP($C13,'Variable Information'!$A$2:$E$480,5,FALSE)</f>
        <v>#N/A</v>
      </c>
      <c r="B13" s="36" t="e">
        <f>VLOOKUP($C13,'Variable Information'!$A$1:$C$480,3,FALSE)</f>
        <v>#N/A</v>
      </c>
      <c r="C13" s="35"/>
      <c r="D13" s="30" t="s">
        <v>1449</v>
      </c>
      <c r="E13" s="15" t="s">
        <v>1465</v>
      </c>
    </row>
    <row r="14" spans="1:5" x14ac:dyDescent="0.25">
      <c r="A14" s="36" t="e">
        <f>VLOOKUP($C14,'Variable Information'!$A$2:$E$480,5,FALSE)</f>
        <v>#N/A</v>
      </c>
      <c r="B14" s="36" t="e">
        <f>VLOOKUP($C14,'Variable Information'!$A$1:$C$480,3,FALSE)</f>
        <v>#N/A</v>
      </c>
      <c r="C14" s="35"/>
      <c r="D14" s="30" t="s">
        <v>1451</v>
      </c>
      <c r="E14" s="15" t="s">
        <v>1466</v>
      </c>
    </row>
    <row r="15" spans="1:5" x14ac:dyDescent="0.25">
      <c r="A15" s="36" t="e">
        <f>VLOOKUP($C15,'Variable Information'!$A$2:$E$480,5,FALSE)</f>
        <v>#N/A</v>
      </c>
      <c r="B15" s="36" t="e">
        <f>VLOOKUP($C15,'Variable Information'!$A$1:$C$480,3,FALSE)</f>
        <v>#N/A</v>
      </c>
      <c r="C15" s="35"/>
      <c r="D15" s="30" t="s">
        <v>1456</v>
      </c>
      <c r="E15" s="15" t="s">
        <v>1467</v>
      </c>
    </row>
    <row r="16" spans="1:5" x14ac:dyDescent="0.25">
      <c r="A16" s="36" t="e">
        <f>VLOOKUP($C16,'Variable Information'!$A$2:$E$480,5,FALSE)</f>
        <v>#N/A</v>
      </c>
      <c r="B16" s="36" t="e">
        <f>VLOOKUP($C16,'Variable Information'!$A$1:$C$480,3,FALSE)</f>
        <v>#N/A</v>
      </c>
      <c r="C16" s="35"/>
      <c r="D16" s="30" t="s">
        <v>1458</v>
      </c>
      <c r="E16" s="15" t="s">
        <v>1468</v>
      </c>
    </row>
    <row r="17" spans="1:5" x14ac:dyDescent="0.25">
      <c r="A17" s="36" t="e">
        <f>VLOOKUP($C17,'Variable Information'!$A$2:$E$480,5,FALSE)</f>
        <v>#N/A</v>
      </c>
      <c r="B17" s="36" t="e">
        <f>VLOOKUP($C17,'Variable Information'!$A$1:$C$480,3,FALSE)</f>
        <v>#N/A</v>
      </c>
      <c r="C17" s="35"/>
      <c r="D17" s="30" t="s">
        <v>1460</v>
      </c>
      <c r="E17" s="15" t="s">
        <v>1469</v>
      </c>
    </row>
    <row r="18" spans="1:5" x14ac:dyDescent="0.25">
      <c r="A18" s="36" t="e">
        <f>VLOOKUP($C18,'Variable Information'!$A$2:$E$480,5,FALSE)</f>
        <v>#N/A</v>
      </c>
      <c r="B18" s="36" t="e">
        <f>VLOOKUP($C18,'Variable Information'!$A$1:$C$480,3,FALSE)</f>
        <v>#N/A</v>
      </c>
      <c r="C18" s="35"/>
      <c r="D18" s="30" t="s">
        <v>1462</v>
      </c>
      <c r="E18" s="15" t="s">
        <v>1470</v>
      </c>
    </row>
    <row r="19" spans="1:5" x14ac:dyDescent="0.25">
      <c r="A19" s="36" t="e">
        <f>VLOOKUP($C19,'Variable Information'!$A$2:$E$480,5,FALSE)</f>
        <v>#N/A</v>
      </c>
      <c r="B19" s="36" t="e">
        <f>VLOOKUP($C19,'Variable Information'!$A$1:$C$480,3,FALSE)</f>
        <v>#N/A</v>
      </c>
      <c r="C19" s="35"/>
      <c r="D19" s="30" t="s">
        <v>1471</v>
      </c>
      <c r="E19" s="15" t="s">
        <v>1472</v>
      </c>
    </row>
    <row r="20" spans="1:5" x14ac:dyDescent="0.25">
      <c r="A20" s="36" t="e">
        <f>VLOOKUP($C20,'Variable Information'!$A$2:$E$480,5,FALSE)</f>
        <v>#N/A</v>
      </c>
      <c r="B20" s="36" t="e">
        <f>VLOOKUP($C20,'Variable Information'!$A$1:$C$480,3,FALSE)</f>
        <v>#N/A</v>
      </c>
      <c r="C20" s="35"/>
      <c r="D20" s="30" t="s">
        <v>1473</v>
      </c>
      <c r="E20" s="15" t="s">
        <v>1474</v>
      </c>
    </row>
    <row r="21" spans="1:5" x14ac:dyDescent="0.25">
      <c r="A21" s="36" t="e">
        <f>VLOOKUP($C21,'Variable Information'!$A$2:$E$480,5,FALSE)</f>
        <v>#N/A</v>
      </c>
      <c r="B21" s="36" t="e">
        <f>VLOOKUP($C21,'Variable Information'!$A$1:$C$480,3,FALSE)</f>
        <v>#N/A</v>
      </c>
      <c r="C21" s="35"/>
      <c r="D21" s="30" t="s">
        <v>1475</v>
      </c>
      <c r="E21" s="15" t="s">
        <v>1476</v>
      </c>
    </row>
    <row r="22" spans="1:5" x14ac:dyDescent="0.25">
      <c r="A22" s="36" t="e">
        <f>VLOOKUP($C22,'Variable Information'!$A$2:$E$480,5,FALSE)</f>
        <v>#N/A</v>
      </c>
      <c r="B22" s="36" t="e">
        <f>VLOOKUP($C22,'Variable Information'!$A$1:$C$480,3,FALSE)</f>
        <v>#N/A</v>
      </c>
      <c r="C22" s="35"/>
      <c r="D22" s="30" t="s">
        <v>1477</v>
      </c>
      <c r="E22" s="15" t="s">
        <v>1478</v>
      </c>
    </row>
    <row r="23" spans="1:5" x14ac:dyDescent="0.25">
      <c r="A23" s="36" t="str">
        <f>VLOOKUP($C23,'Variable Information'!$A$2:$E$480,5,FALSE)</f>
        <v>edu_2</v>
      </c>
      <c r="B23" s="36" t="str">
        <f>VLOOKUP($C23,'Variable Information'!$A$1:$C$480,3,FALSE)</f>
        <v>Education</v>
      </c>
      <c r="C23" s="35" t="s">
        <v>21</v>
      </c>
      <c r="D23" s="30" t="s">
        <v>1447</v>
      </c>
      <c r="E23" s="15" t="s">
        <v>1479</v>
      </c>
    </row>
    <row r="24" spans="1:5" x14ac:dyDescent="0.25">
      <c r="A24" s="36" t="e">
        <f>VLOOKUP($C24,'Variable Information'!$A$2:$E$480,5,FALSE)</f>
        <v>#N/A</v>
      </c>
      <c r="B24" s="36" t="e">
        <f>VLOOKUP($C24,'Variable Information'!$A$1:$C$480,3,FALSE)</f>
        <v>#N/A</v>
      </c>
      <c r="C24" s="35"/>
      <c r="D24" s="30" t="s">
        <v>1449</v>
      </c>
      <c r="E24" s="15" t="s">
        <v>1480</v>
      </c>
    </row>
    <row r="25" spans="1:5" x14ac:dyDescent="0.25">
      <c r="A25" s="36" t="str">
        <f>VLOOKUP($C25,'Variable Information'!$A$2:$E$480,5,FALSE)</f>
        <v>emp</v>
      </c>
      <c r="B25" s="36" t="str">
        <f>VLOOKUP($C25,'Variable Information'!$A$1:$C$480,3,FALSE)</f>
        <v>Q17. Which one of the following best describes your current situation?</v>
      </c>
      <c r="C25" s="35" t="s">
        <v>25</v>
      </c>
      <c r="D25" s="30" t="s">
        <v>1447</v>
      </c>
      <c r="E25" s="15" t="s">
        <v>1481</v>
      </c>
    </row>
    <row r="26" spans="1:5" x14ac:dyDescent="0.25">
      <c r="A26" s="36" t="e">
        <f>VLOOKUP($C26,'Variable Information'!$A$2:$E$480,5,FALSE)</f>
        <v>#N/A</v>
      </c>
      <c r="B26" s="36" t="e">
        <f>VLOOKUP($C26,'Variable Information'!$A$1:$C$480,3,FALSE)</f>
        <v>#N/A</v>
      </c>
      <c r="C26" s="35"/>
      <c r="D26" s="30" t="s">
        <v>1449</v>
      </c>
      <c r="E26" s="15" t="s">
        <v>1482</v>
      </c>
    </row>
    <row r="27" spans="1:5" x14ac:dyDescent="0.25">
      <c r="A27" s="36" t="e">
        <f>VLOOKUP($C27,'Variable Information'!$A$2:$E$480,5,FALSE)</f>
        <v>#N/A</v>
      </c>
      <c r="B27" s="36" t="e">
        <f>VLOOKUP($C27,'Variable Information'!$A$1:$C$480,3,FALSE)</f>
        <v>#N/A</v>
      </c>
      <c r="C27" s="35"/>
      <c r="D27" s="30" t="s">
        <v>1451</v>
      </c>
      <c r="E27" s="15" t="s">
        <v>1483</v>
      </c>
    </row>
    <row r="28" spans="1:5" x14ac:dyDescent="0.25">
      <c r="A28" s="36" t="e">
        <f>VLOOKUP($C28,'Variable Information'!$A$2:$E$480,5,FALSE)</f>
        <v>#N/A</v>
      </c>
      <c r="B28" s="36" t="e">
        <f>VLOOKUP($C28,'Variable Information'!$A$1:$C$480,3,FALSE)</f>
        <v>#N/A</v>
      </c>
      <c r="C28" s="35"/>
      <c r="D28" s="30" t="s">
        <v>1456</v>
      </c>
      <c r="E28" s="15" t="s">
        <v>1484</v>
      </c>
    </row>
    <row r="29" spans="1:5" x14ac:dyDescent="0.25">
      <c r="A29" s="36" t="e">
        <f>VLOOKUP($C29,'Variable Information'!$A$2:$E$480,5,FALSE)</f>
        <v>#N/A</v>
      </c>
      <c r="B29" s="36" t="e">
        <f>VLOOKUP($C29,'Variable Information'!$A$1:$C$480,3,FALSE)</f>
        <v>#N/A</v>
      </c>
      <c r="C29" s="35"/>
      <c r="D29" s="30" t="s">
        <v>1458</v>
      </c>
      <c r="E29" s="15" t="s">
        <v>1485</v>
      </c>
    </row>
    <row r="30" spans="1:5" x14ac:dyDescent="0.25">
      <c r="A30" s="36" t="e">
        <f>VLOOKUP($C30,'Variable Information'!$A$2:$E$480,5,FALSE)</f>
        <v>#N/A</v>
      </c>
      <c r="B30" s="36" t="e">
        <f>VLOOKUP($C30,'Variable Information'!$A$1:$C$480,3,FALSE)</f>
        <v>#N/A</v>
      </c>
      <c r="C30" s="35"/>
      <c r="D30" s="30" t="s">
        <v>1460</v>
      </c>
      <c r="E30" s="15" t="s">
        <v>1486</v>
      </c>
    </row>
    <row r="31" spans="1:5" x14ac:dyDescent="0.25">
      <c r="A31" s="36" t="e">
        <f>VLOOKUP($C31,'Variable Information'!$A$2:$E$480,5,FALSE)</f>
        <v>#N/A</v>
      </c>
      <c r="B31" s="36" t="e">
        <f>VLOOKUP($C31,'Variable Information'!$A$1:$C$480,3,FALSE)</f>
        <v>#N/A</v>
      </c>
      <c r="C31" s="35"/>
      <c r="D31" s="30" t="s">
        <v>1462</v>
      </c>
      <c r="E31" s="15" t="s">
        <v>1487</v>
      </c>
    </row>
    <row r="32" spans="1:5" x14ac:dyDescent="0.25">
      <c r="A32" s="36" t="e">
        <f>VLOOKUP($C32,'Variable Information'!$A$2:$E$480,5,FALSE)</f>
        <v>#N/A</v>
      </c>
      <c r="B32" s="36" t="e">
        <f>VLOOKUP($C32,'Variable Information'!$A$1:$C$480,3,FALSE)</f>
        <v>#N/A</v>
      </c>
      <c r="C32" s="35"/>
      <c r="D32" s="30" t="s">
        <v>1471</v>
      </c>
      <c r="E32" s="15" t="s">
        <v>1488</v>
      </c>
    </row>
    <row r="33" spans="1:5" x14ac:dyDescent="0.25">
      <c r="A33" s="36" t="e">
        <f>VLOOKUP($C33,'Variable Information'!$A$2:$E$480,5,FALSE)</f>
        <v>#N/A</v>
      </c>
      <c r="B33" s="36" t="e">
        <f>VLOOKUP($C33,'Variable Information'!$A$1:$C$480,3,FALSE)</f>
        <v>#N/A</v>
      </c>
      <c r="C33" s="35"/>
      <c r="D33" s="30" t="s">
        <v>1473</v>
      </c>
      <c r="E33" s="15" t="s">
        <v>1489</v>
      </c>
    </row>
    <row r="34" spans="1:5" x14ac:dyDescent="0.25">
      <c r="A34" s="36" t="str">
        <f>VLOOKUP($C34,'Variable Information'!$A$2:$E$480,5,FALSE)</f>
        <v>emp_2</v>
      </c>
      <c r="B34" s="36" t="str">
        <f>VLOOKUP($C34,'Variable Information'!$A$1:$C$480,3,FALSE)</f>
        <v>Employment</v>
      </c>
      <c r="C34" s="35" t="s">
        <v>28</v>
      </c>
      <c r="D34" s="30" t="s">
        <v>1447</v>
      </c>
      <c r="E34" s="15" t="s">
        <v>1490</v>
      </c>
    </row>
    <row r="35" spans="1:5" x14ac:dyDescent="0.25">
      <c r="A35" s="36" t="e">
        <f>VLOOKUP($C35,'Variable Information'!$A$2:$E$480,5,FALSE)</f>
        <v>#N/A</v>
      </c>
      <c r="B35" s="36" t="e">
        <f>VLOOKUP($C35,'Variable Information'!$A$1:$C$480,3,FALSE)</f>
        <v>#N/A</v>
      </c>
      <c r="C35" s="35"/>
      <c r="D35" s="30" t="s">
        <v>1449</v>
      </c>
      <c r="E35" s="15" t="s">
        <v>1491</v>
      </c>
    </row>
    <row r="36" spans="1:5" ht="30" x14ac:dyDescent="0.25">
      <c r="A36" s="36" t="str">
        <f>VLOOKUP($C36,'Variable Information'!$A$2:$E$480,5,FALSE)</f>
        <v>work</v>
      </c>
      <c r="B36" s="36" t="str">
        <f>VLOOKUP($C36,'Variable Information'!$A$1:$C$480,3,FALSE)</f>
        <v>QSocialGrade. Please indicate which occupational group best describes the main earner in your household, or which group fits best.</v>
      </c>
      <c r="C36" s="35" t="s">
        <v>32</v>
      </c>
      <c r="D36" s="30" t="s">
        <v>1447</v>
      </c>
      <c r="E36" s="15" t="s">
        <v>1492</v>
      </c>
    </row>
    <row r="37" spans="1:5" ht="30" x14ac:dyDescent="0.25">
      <c r="A37" s="36" t="e">
        <f>VLOOKUP($C37,'Variable Information'!$A$2:$E$480,5,FALSE)</f>
        <v>#N/A</v>
      </c>
      <c r="B37" s="36" t="e">
        <f>VLOOKUP($C37,'Variable Information'!$A$1:$C$480,3,FALSE)</f>
        <v>#N/A</v>
      </c>
      <c r="C37" s="35"/>
      <c r="D37" s="30" t="s">
        <v>1449</v>
      </c>
      <c r="E37" s="15" t="s">
        <v>1493</v>
      </c>
    </row>
    <row r="38" spans="1:5" ht="30" x14ac:dyDescent="0.25">
      <c r="A38" s="36" t="e">
        <f>VLOOKUP($C38,'Variable Information'!$A$2:$E$480,5,FALSE)</f>
        <v>#N/A</v>
      </c>
      <c r="B38" s="36" t="e">
        <f>VLOOKUP($C38,'Variable Information'!$A$1:$C$480,3,FALSE)</f>
        <v>#N/A</v>
      </c>
      <c r="C38" s="35"/>
      <c r="D38" s="30" t="s">
        <v>1451</v>
      </c>
      <c r="E38" s="15" t="s">
        <v>1494</v>
      </c>
    </row>
    <row r="39" spans="1:5" x14ac:dyDescent="0.25">
      <c r="A39" s="36" t="e">
        <f>VLOOKUP($C39,'Variable Information'!$A$2:$E$480,5,FALSE)</f>
        <v>#N/A</v>
      </c>
      <c r="B39" s="36" t="e">
        <f>VLOOKUP($C39,'Variable Information'!$A$1:$C$480,3,FALSE)</f>
        <v>#N/A</v>
      </c>
      <c r="C39" s="35"/>
      <c r="D39" s="30" t="s">
        <v>1456</v>
      </c>
      <c r="E39" s="15" t="s">
        <v>1495</v>
      </c>
    </row>
    <row r="40" spans="1:5" ht="30" x14ac:dyDescent="0.25">
      <c r="A40" s="36" t="e">
        <f>VLOOKUP($C40,'Variable Information'!$A$2:$E$480,5,FALSE)</f>
        <v>#N/A</v>
      </c>
      <c r="B40" s="36" t="e">
        <f>VLOOKUP($C40,'Variable Information'!$A$1:$C$480,3,FALSE)</f>
        <v>#N/A</v>
      </c>
      <c r="C40" s="35"/>
      <c r="D40" s="30" t="s">
        <v>1458</v>
      </c>
      <c r="E40" s="15" t="s">
        <v>1496</v>
      </c>
    </row>
    <row r="41" spans="1:5" ht="30" x14ac:dyDescent="0.25">
      <c r="A41" s="36" t="e">
        <f>VLOOKUP($C41,'Variable Information'!$A$2:$E$480,5,FALSE)</f>
        <v>#N/A</v>
      </c>
      <c r="B41" s="36" t="e">
        <f>VLOOKUP($C41,'Variable Information'!$A$1:$C$480,3,FALSE)</f>
        <v>#N/A</v>
      </c>
      <c r="C41" s="35"/>
      <c r="D41" s="30" t="s">
        <v>1460</v>
      </c>
      <c r="E41" s="15" t="s">
        <v>1497</v>
      </c>
    </row>
    <row r="42" spans="1:5" x14ac:dyDescent="0.25">
      <c r="A42" s="36" t="e">
        <f>VLOOKUP($C42,'Variable Information'!$A$2:$E$480,5,FALSE)</f>
        <v>#N/A</v>
      </c>
      <c r="B42" s="36" t="e">
        <f>VLOOKUP($C42,'Variable Information'!$A$1:$C$480,3,FALSE)</f>
        <v>#N/A</v>
      </c>
      <c r="C42" s="35"/>
      <c r="D42" s="30" t="s">
        <v>1462</v>
      </c>
      <c r="E42" s="15" t="s">
        <v>1498</v>
      </c>
    </row>
    <row r="43" spans="1:5" x14ac:dyDescent="0.25">
      <c r="A43" s="36" t="e">
        <f>VLOOKUP($C43,'Variable Information'!$A$2:$E$480,5,FALSE)</f>
        <v>#N/A</v>
      </c>
      <c r="B43" s="36" t="e">
        <f>VLOOKUP($C43,'Variable Information'!$A$1:$C$480,3,FALSE)</f>
        <v>#N/A</v>
      </c>
      <c r="C43" s="35"/>
      <c r="D43" s="30" t="s">
        <v>1471</v>
      </c>
      <c r="E43" s="15" t="s">
        <v>1499</v>
      </c>
    </row>
    <row r="44" spans="1:5" x14ac:dyDescent="0.25">
      <c r="A44" s="36" t="e">
        <f>VLOOKUP($C44,'Variable Information'!$A$2:$E$480,5,FALSE)</f>
        <v>#N/A</v>
      </c>
      <c r="B44" s="36" t="e">
        <f>VLOOKUP($C44,'Variable Information'!$A$1:$C$480,3,FALSE)</f>
        <v>#N/A</v>
      </c>
      <c r="C44" s="35"/>
      <c r="D44" s="30" t="s">
        <v>1473</v>
      </c>
      <c r="E44" s="15" t="s">
        <v>1500</v>
      </c>
    </row>
    <row r="45" spans="1:5" x14ac:dyDescent="0.25">
      <c r="A45" s="36" t="e">
        <f>VLOOKUP($C45,'Variable Information'!$A$2:$E$480,5,FALSE)</f>
        <v>#N/A</v>
      </c>
      <c r="B45" s="36" t="e">
        <f>VLOOKUP($C45,'Variable Information'!$A$1:$C$480,3,FALSE)</f>
        <v>#N/A</v>
      </c>
      <c r="C45" s="35"/>
      <c r="D45" s="30" t="s">
        <v>1475</v>
      </c>
      <c r="E45" s="15" t="s">
        <v>1501</v>
      </c>
    </row>
    <row r="46" spans="1:5" x14ac:dyDescent="0.25">
      <c r="A46" s="36" t="e">
        <f>VLOOKUP($C46,'Variable Information'!$A$2:$E$480,5,FALSE)</f>
        <v>#N/A</v>
      </c>
      <c r="B46" s="36" t="e">
        <f>VLOOKUP($C46,'Variable Information'!$A$1:$C$480,3,FALSE)</f>
        <v>#N/A</v>
      </c>
      <c r="C46" s="35"/>
      <c r="D46" s="30" t="s">
        <v>1477</v>
      </c>
      <c r="E46" s="15" t="s">
        <v>1502</v>
      </c>
    </row>
    <row r="47" spans="1:5" x14ac:dyDescent="0.25">
      <c r="A47" s="36" t="e">
        <f>VLOOKUP($C47,'Variable Information'!$A$2:$E$480,5,FALSE)</f>
        <v>#N/A</v>
      </c>
      <c r="B47" s="36" t="e">
        <f>VLOOKUP($C47,'Variable Information'!$A$1:$C$480,3,FALSE)</f>
        <v>#N/A</v>
      </c>
      <c r="C47" s="35"/>
      <c r="D47" s="30" t="s">
        <v>1503</v>
      </c>
      <c r="E47" s="15" t="s">
        <v>1504</v>
      </c>
    </row>
    <row r="48" spans="1:5" x14ac:dyDescent="0.25">
      <c r="A48" s="36" t="str">
        <f>VLOOKUP($C48,'Variable Information'!$A$2:$E$480,5,FALSE)</f>
        <v>work_2</v>
      </c>
      <c r="B48" s="36" t="str">
        <f>VLOOKUP($C48,'Variable Information'!$A$1:$C$480,3,FALSE)</f>
        <v>Social Grade</v>
      </c>
      <c r="C48" s="35" t="s">
        <v>35</v>
      </c>
      <c r="D48" s="30" t="s">
        <v>1447</v>
      </c>
      <c r="E48" s="15" t="s">
        <v>1505</v>
      </c>
    </row>
    <row r="49" spans="1:5" x14ac:dyDescent="0.25">
      <c r="A49" s="36" t="e">
        <f>VLOOKUP($C49,'Variable Information'!$A$2:$E$480,5,FALSE)</f>
        <v>#N/A</v>
      </c>
      <c r="B49" s="36" t="e">
        <f>VLOOKUP($C49,'Variable Information'!$A$1:$C$480,3,FALSE)</f>
        <v>#N/A</v>
      </c>
      <c r="C49" s="35"/>
      <c r="D49" s="30" t="s">
        <v>1449</v>
      </c>
      <c r="E49" s="15" t="s">
        <v>1506</v>
      </c>
    </row>
    <row r="50" spans="1:5" x14ac:dyDescent="0.25">
      <c r="A50" s="36" t="e">
        <f>VLOOKUP($C50,'Variable Information'!$A$2:$E$480,5,FALSE)</f>
        <v>#N/A</v>
      </c>
      <c r="B50" s="36" t="e">
        <f>VLOOKUP($C50,'Variable Information'!$A$1:$C$480,3,FALSE)</f>
        <v>#N/A</v>
      </c>
      <c r="C50" s="35"/>
      <c r="D50" s="30" t="s">
        <v>1451</v>
      </c>
      <c r="E50" s="15" t="s">
        <v>1507</v>
      </c>
    </row>
    <row r="51" spans="1:5" x14ac:dyDescent="0.25">
      <c r="A51" s="36" t="e">
        <f>VLOOKUP($C51,'Variable Information'!$A$2:$E$480,5,FALSE)</f>
        <v>#N/A</v>
      </c>
      <c r="B51" s="36" t="e">
        <f>VLOOKUP($C51,'Variable Information'!$A$1:$C$480,3,FALSE)</f>
        <v>#N/A</v>
      </c>
      <c r="C51" s="35"/>
      <c r="D51" s="30" t="s">
        <v>1456</v>
      </c>
      <c r="E51" s="15" t="s">
        <v>1508</v>
      </c>
    </row>
    <row r="52" spans="1:5" x14ac:dyDescent="0.25">
      <c r="A52" s="36" t="e">
        <f>VLOOKUP($C52,'Variable Information'!$A$2:$E$480,5,FALSE)</f>
        <v>#N/A</v>
      </c>
      <c r="B52" s="36" t="e">
        <f>VLOOKUP($C52,'Variable Information'!$A$1:$C$480,3,FALSE)</f>
        <v>#N/A</v>
      </c>
      <c r="C52" s="35"/>
      <c r="D52" s="30" t="s">
        <v>1458</v>
      </c>
      <c r="E52" s="15" t="s">
        <v>1509</v>
      </c>
    </row>
    <row r="53" spans="1:5" x14ac:dyDescent="0.25">
      <c r="A53" s="36" t="e">
        <f>VLOOKUP($C53,'Variable Information'!$A$2:$E$480,5,FALSE)</f>
        <v>#N/A</v>
      </c>
      <c r="B53" s="36" t="e">
        <f>VLOOKUP($C53,'Variable Information'!$A$1:$C$480,3,FALSE)</f>
        <v>#N/A</v>
      </c>
      <c r="C53" s="35"/>
      <c r="D53" s="30" t="s">
        <v>1460</v>
      </c>
      <c r="E53" s="15" t="s">
        <v>1510</v>
      </c>
    </row>
    <row r="54" spans="1:5" x14ac:dyDescent="0.25">
      <c r="A54" s="36" t="e">
        <f>VLOOKUP($C54,'Variable Information'!$A$2:$E$480,5,FALSE)</f>
        <v>#N/A</v>
      </c>
      <c r="B54" s="36" t="e">
        <f>VLOOKUP($C54,'Variable Information'!$A$1:$C$480,3,FALSE)</f>
        <v>#N/A</v>
      </c>
      <c r="C54" s="35"/>
      <c r="D54" s="30" t="s">
        <v>1462</v>
      </c>
      <c r="E54" s="15" t="s">
        <v>1511</v>
      </c>
    </row>
    <row r="55" spans="1:5" x14ac:dyDescent="0.25">
      <c r="A55" s="36" t="str">
        <f>VLOOKUP($C55,'Variable Information'!$A$2:$E$480,5,FALSE)</f>
        <v>county</v>
      </c>
      <c r="B55" s="36" t="str">
        <f>VLOOKUP($C55,'Variable Information'!$A$1:$C$480,3,FALSE)</f>
        <v>County. What is the name of the county where you currently live?</v>
      </c>
      <c r="C55" s="35" t="s">
        <v>39</v>
      </c>
      <c r="D55" s="30" t="s">
        <v>1447</v>
      </c>
      <c r="E55" s="15" t="s">
        <v>1512</v>
      </c>
    </row>
    <row r="56" spans="1:5" x14ac:dyDescent="0.25">
      <c r="A56" s="36" t="e">
        <f>VLOOKUP($C56,'Variable Information'!$A$2:$E$480,5,FALSE)</f>
        <v>#N/A</v>
      </c>
      <c r="B56" s="36" t="e">
        <f>VLOOKUP($C56,'Variable Information'!$A$1:$C$480,3,FALSE)</f>
        <v>#N/A</v>
      </c>
      <c r="C56" s="35"/>
      <c r="D56" s="30" t="s">
        <v>1449</v>
      </c>
      <c r="E56" s="15" t="s">
        <v>1513</v>
      </c>
    </row>
    <row r="57" spans="1:5" x14ac:dyDescent="0.25">
      <c r="A57" s="36" t="e">
        <f>VLOOKUP($C57,'Variable Information'!$A$2:$E$480,5,FALSE)</f>
        <v>#N/A</v>
      </c>
      <c r="B57" s="36" t="e">
        <f>VLOOKUP($C57,'Variable Information'!$A$1:$C$480,3,FALSE)</f>
        <v>#N/A</v>
      </c>
      <c r="C57" s="35"/>
      <c r="D57" s="30" t="s">
        <v>1451</v>
      </c>
      <c r="E57" s="15" t="s">
        <v>1514</v>
      </c>
    </row>
    <row r="58" spans="1:5" x14ac:dyDescent="0.25">
      <c r="A58" s="36" t="e">
        <f>VLOOKUP($C58,'Variable Information'!$A$2:$E$480,5,FALSE)</f>
        <v>#N/A</v>
      </c>
      <c r="B58" s="36" t="e">
        <f>VLOOKUP($C58,'Variable Information'!$A$1:$C$480,3,FALSE)</f>
        <v>#N/A</v>
      </c>
      <c r="C58" s="35"/>
      <c r="D58" s="30" t="s">
        <v>1456</v>
      </c>
      <c r="E58" s="15" t="s">
        <v>1515</v>
      </c>
    </row>
    <row r="59" spans="1:5" x14ac:dyDescent="0.25">
      <c r="A59" s="36" t="e">
        <f>VLOOKUP($C59,'Variable Information'!$A$2:$E$480,5,FALSE)</f>
        <v>#N/A</v>
      </c>
      <c r="B59" s="36" t="e">
        <f>VLOOKUP($C59,'Variable Information'!$A$1:$C$480,3,FALSE)</f>
        <v>#N/A</v>
      </c>
      <c r="C59" s="35"/>
      <c r="D59" s="30" t="s">
        <v>1458</v>
      </c>
      <c r="E59" s="15" t="s">
        <v>1516</v>
      </c>
    </row>
    <row r="60" spans="1:5" x14ac:dyDescent="0.25">
      <c r="A60" s="36" t="e">
        <f>VLOOKUP($C60,'Variable Information'!$A$2:$E$480,5,FALSE)</f>
        <v>#N/A</v>
      </c>
      <c r="B60" s="36" t="e">
        <f>VLOOKUP($C60,'Variable Information'!$A$1:$C$480,3,FALSE)</f>
        <v>#N/A</v>
      </c>
      <c r="C60" s="35"/>
      <c r="D60" s="30" t="s">
        <v>1460</v>
      </c>
      <c r="E60" s="15" t="s">
        <v>1517</v>
      </c>
    </row>
    <row r="61" spans="1:5" x14ac:dyDescent="0.25">
      <c r="A61" s="36" t="e">
        <f>VLOOKUP($C61,'Variable Information'!$A$2:$E$480,5,FALSE)</f>
        <v>#N/A</v>
      </c>
      <c r="B61" s="36" t="e">
        <f>VLOOKUP($C61,'Variable Information'!$A$1:$C$480,3,FALSE)</f>
        <v>#N/A</v>
      </c>
      <c r="C61" s="35"/>
      <c r="D61" s="30" t="s">
        <v>1462</v>
      </c>
      <c r="E61" s="15" t="s">
        <v>1518</v>
      </c>
    </row>
    <row r="62" spans="1:5" x14ac:dyDescent="0.25">
      <c r="A62" s="36" t="e">
        <f>VLOOKUP($C62,'Variable Information'!$A$2:$E$480,5,FALSE)</f>
        <v>#N/A</v>
      </c>
      <c r="B62" s="36" t="e">
        <f>VLOOKUP($C62,'Variable Information'!$A$1:$C$480,3,FALSE)</f>
        <v>#N/A</v>
      </c>
      <c r="C62" s="35"/>
      <c r="D62" s="30" t="s">
        <v>1471</v>
      </c>
      <c r="E62" s="15" t="s">
        <v>1519</v>
      </c>
    </row>
    <row r="63" spans="1:5" x14ac:dyDescent="0.25">
      <c r="A63" s="36" t="e">
        <f>VLOOKUP($C63,'Variable Information'!$A$2:$E$480,5,FALSE)</f>
        <v>#N/A</v>
      </c>
      <c r="B63" s="36" t="e">
        <f>VLOOKUP($C63,'Variable Information'!$A$1:$C$480,3,FALSE)</f>
        <v>#N/A</v>
      </c>
      <c r="C63" s="35"/>
      <c r="D63" s="30" t="s">
        <v>1473</v>
      </c>
      <c r="E63" s="15" t="s">
        <v>1520</v>
      </c>
    </row>
    <row r="64" spans="1:5" x14ac:dyDescent="0.25">
      <c r="A64" s="36" t="e">
        <f>VLOOKUP($C64,'Variable Information'!$A$2:$E$480,5,FALSE)</f>
        <v>#N/A</v>
      </c>
      <c r="B64" s="36" t="e">
        <f>VLOOKUP($C64,'Variable Information'!$A$1:$C$480,3,FALSE)</f>
        <v>#N/A</v>
      </c>
      <c r="C64" s="35"/>
      <c r="D64" s="30" t="s">
        <v>1475</v>
      </c>
      <c r="E64" s="15" t="s">
        <v>1521</v>
      </c>
    </row>
    <row r="65" spans="1:5" x14ac:dyDescent="0.25">
      <c r="A65" s="36" t="e">
        <f>VLOOKUP($C65,'Variable Information'!$A$2:$E$480,5,FALSE)</f>
        <v>#N/A</v>
      </c>
      <c r="B65" s="36" t="e">
        <f>VLOOKUP($C65,'Variable Information'!$A$1:$C$480,3,FALSE)</f>
        <v>#N/A</v>
      </c>
      <c r="C65" s="35"/>
      <c r="D65" s="30" t="s">
        <v>1477</v>
      </c>
      <c r="E65" s="15" t="s">
        <v>1522</v>
      </c>
    </row>
    <row r="66" spans="1:5" x14ac:dyDescent="0.25">
      <c r="A66" s="36" t="e">
        <f>VLOOKUP($C66,'Variable Information'!$A$2:$E$480,5,FALSE)</f>
        <v>#N/A</v>
      </c>
      <c r="B66" s="36" t="e">
        <f>VLOOKUP($C66,'Variable Information'!$A$1:$C$480,3,FALSE)</f>
        <v>#N/A</v>
      </c>
      <c r="C66" s="35"/>
      <c r="D66" s="30" t="s">
        <v>1503</v>
      </c>
      <c r="E66" s="15" t="s">
        <v>1523</v>
      </c>
    </row>
    <row r="67" spans="1:5" x14ac:dyDescent="0.25">
      <c r="A67" s="36" t="e">
        <f>VLOOKUP($C67,'Variable Information'!$A$2:$E$480,5,FALSE)</f>
        <v>#N/A</v>
      </c>
      <c r="B67" s="36" t="e">
        <f>VLOOKUP($C67,'Variable Information'!$A$1:$C$480,3,FALSE)</f>
        <v>#N/A</v>
      </c>
      <c r="C67" s="35"/>
      <c r="D67" s="30" t="s">
        <v>1524</v>
      </c>
      <c r="E67" s="15" t="s">
        <v>1525</v>
      </c>
    </row>
    <row r="68" spans="1:5" x14ac:dyDescent="0.25">
      <c r="A68" s="36" t="e">
        <f>VLOOKUP($C68,'Variable Information'!$A$2:$E$480,5,FALSE)</f>
        <v>#N/A</v>
      </c>
      <c r="B68" s="36" t="e">
        <f>VLOOKUP($C68,'Variable Information'!$A$1:$C$480,3,FALSE)</f>
        <v>#N/A</v>
      </c>
      <c r="C68" s="35"/>
      <c r="D68" s="30" t="s">
        <v>1526</v>
      </c>
      <c r="E68" s="15" t="s">
        <v>1527</v>
      </c>
    </row>
    <row r="69" spans="1:5" x14ac:dyDescent="0.25">
      <c r="A69" s="36" t="e">
        <f>VLOOKUP($C69,'Variable Information'!$A$2:$E$480,5,FALSE)</f>
        <v>#N/A</v>
      </c>
      <c r="B69" s="36" t="e">
        <f>VLOOKUP($C69,'Variable Information'!$A$1:$C$480,3,FALSE)</f>
        <v>#N/A</v>
      </c>
      <c r="C69" s="35"/>
      <c r="D69" s="30" t="s">
        <v>1528</v>
      </c>
      <c r="E69" s="15" t="s">
        <v>1529</v>
      </c>
    </row>
    <row r="70" spans="1:5" x14ac:dyDescent="0.25">
      <c r="A70" s="36" t="e">
        <f>VLOOKUP($C70,'Variable Information'!$A$2:$E$480,5,FALSE)</f>
        <v>#N/A</v>
      </c>
      <c r="B70" s="36" t="e">
        <f>VLOOKUP($C70,'Variable Information'!$A$1:$C$480,3,FALSE)</f>
        <v>#N/A</v>
      </c>
      <c r="C70" s="35"/>
      <c r="D70" s="30" t="s">
        <v>1530</v>
      </c>
      <c r="E70" s="15" t="s">
        <v>1531</v>
      </c>
    </row>
    <row r="71" spans="1:5" x14ac:dyDescent="0.25">
      <c r="A71" s="36" t="e">
        <f>VLOOKUP($C71,'Variable Information'!$A$2:$E$480,5,FALSE)</f>
        <v>#N/A</v>
      </c>
      <c r="B71" s="36" t="e">
        <f>VLOOKUP($C71,'Variable Information'!$A$1:$C$480,3,FALSE)</f>
        <v>#N/A</v>
      </c>
      <c r="C71" s="35"/>
      <c r="D71" s="30" t="s">
        <v>1532</v>
      </c>
      <c r="E71" s="15" t="s">
        <v>1533</v>
      </c>
    </row>
    <row r="72" spans="1:5" x14ac:dyDescent="0.25">
      <c r="A72" s="36" t="e">
        <f>VLOOKUP($C72,'Variable Information'!$A$2:$E$480,5,FALSE)</f>
        <v>#N/A</v>
      </c>
      <c r="B72" s="36" t="e">
        <f>VLOOKUP($C72,'Variable Information'!$A$1:$C$480,3,FALSE)</f>
        <v>#N/A</v>
      </c>
      <c r="C72" s="35"/>
      <c r="D72" s="30" t="s">
        <v>1534</v>
      </c>
      <c r="E72" s="15" t="s">
        <v>1535</v>
      </c>
    </row>
    <row r="73" spans="1:5" x14ac:dyDescent="0.25">
      <c r="A73" s="36" t="e">
        <f>VLOOKUP($C73,'Variable Information'!$A$2:$E$480,5,FALSE)</f>
        <v>#N/A</v>
      </c>
      <c r="B73" s="36" t="e">
        <f>VLOOKUP($C73,'Variable Information'!$A$1:$C$480,3,FALSE)</f>
        <v>#N/A</v>
      </c>
      <c r="C73" s="35"/>
      <c r="D73" s="30" t="s">
        <v>1536</v>
      </c>
      <c r="E73" s="15" t="s">
        <v>1537</v>
      </c>
    </row>
    <row r="74" spans="1:5" x14ac:dyDescent="0.25">
      <c r="A74" s="36" t="e">
        <f>VLOOKUP($C74,'Variable Information'!$A$2:$E$480,5,FALSE)</f>
        <v>#N/A</v>
      </c>
      <c r="B74" s="36" t="e">
        <f>VLOOKUP($C74,'Variable Information'!$A$1:$C$480,3,FALSE)</f>
        <v>#N/A</v>
      </c>
      <c r="C74" s="35"/>
      <c r="D74" s="30" t="s">
        <v>1538</v>
      </c>
      <c r="E74" s="15" t="s">
        <v>1539</v>
      </c>
    </row>
    <row r="75" spans="1:5" x14ac:dyDescent="0.25">
      <c r="A75" s="36" t="e">
        <f>VLOOKUP($C75,'Variable Information'!$A$2:$E$480,5,FALSE)</f>
        <v>#N/A</v>
      </c>
      <c r="B75" s="36" t="e">
        <f>VLOOKUP($C75,'Variable Information'!$A$1:$C$480,3,FALSE)</f>
        <v>#N/A</v>
      </c>
      <c r="C75" s="35"/>
      <c r="D75" s="30" t="s">
        <v>1540</v>
      </c>
      <c r="E75" s="15" t="s">
        <v>1541</v>
      </c>
    </row>
    <row r="76" spans="1:5" x14ac:dyDescent="0.25">
      <c r="A76" s="36" t="e">
        <f>VLOOKUP($C76,'Variable Information'!$A$2:$E$480,5,FALSE)</f>
        <v>#N/A</v>
      </c>
      <c r="B76" s="36" t="e">
        <f>VLOOKUP($C76,'Variable Information'!$A$1:$C$480,3,FALSE)</f>
        <v>#N/A</v>
      </c>
      <c r="C76" s="35"/>
      <c r="D76" s="30" t="s">
        <v>1542</v>
      </c>
      <c r="E76" s="15" t="s">
        <v>1543</v>
      </c>
    </row>
    <row r="77" spans="1:5" x14ac:dyDescent="0.25">
      <c r="A77" s="36" t="e">
        <f>VLOOKUP($C77,'Variable Information'!$A$2:$E$480,5,FALSE)</f>
        <v>#N/A</v>
      </c>
      <c r="B77" s="36" t="e">
        <f>VLOOKUP($C77,'Variable Information'!$A$1:$C$480,3,FALSE)</f>
        <v>#N/A</v>
      </c>
      <c r="C77" s="35"/>
      <c r="D77" s="30" t="s">
        <v>1544</v>
      </c>
      <c r="E77" s="15" t="s">
        <v>1545</v>
      </c>
    </row>
    <row r="78" spans="1:5" x14ac:dyDescent="0.25">
      <c r="A78" s="36" t="e">
        <f>VLOOKUP($C78,'Variable Information'!$A$2:$E$480,5,FALSE)</f>
        <v>#N/A</v>
      </c>
      <c r="B78" s="36" t="e">
        <f>VLOOKUP($C78,'Variable Information'!$A$1:$C$480,3,FALSE)</f>
        <v>#N/A</v>
      </c>
      <c r="C78" s="35"/>
      <c r="D78" s="30" t="s">
        <v>1546</v>
      </c>
      <c r="E78" s="15" t="s">
        <v>1547</v>
      </c>
    </row>
    <row r="79" spans="1:5" x14ac:dyDescent="0.25">
      <c r="A79" s="36" t="e">
        <f>VLOOKUP($C79,'Variable Information'!$A$2:$E$480,5,FALSE)</f>
        <v>#N/A</v>
      </c>
      <c r="B79" s="36" t="e">
        <f>VLOOKUP($C79,'Variable Information'!$A$1:$C$480,3,FALSE)</f>
        <v>#N/A</v>
      </c>
      <c r="C79" s="35"/>
      <c r="D79" s="30" t="s">
        <v>1548</v>
      </c>
      <c r="E79" s="15" t="s">
        <v>1549</v>
      </c>
    </row>
    <row r="80" spans="1:5" x14ac:dyDescent="0.25">
      <c r="A80" s="36" t="e">
        <f>VLOOKUP($C80,'Variable Information'!$A$2:$E$480,5,FALSE)</f>
        <v>#N/A</v>
      </c>
      <c r="B80" s="36" t="e">
        <f>VLOOKUP($C80,'Variable Information'!$A$1:$C$480,3,FALSE)</f>
        <v>#N/A</v>
      </c>
      <c r="C80" s="35"/>
      <c r="D80" s="30" t="s">
        <v>1550</v>
      </c>
      <c r="E80" s="15" t="s">
        <v>1551</v>
      </c>
    </row>
    <row r="81" spans="1:5" x14ac:dyDescent="0.25">
      <c r="A81" s="36" t="e">
        <f>VLOOKUP($C81,'Variable Information'!$A$2:$E$480,5,FALSE)</f>
        <v>#N/A</v>
      </c>
      <c r="B81" s="36" t="e">
        <f>VLOOKUP($C81,'Variable Information'!$A$1:$C$480,3,FALSE)</f>
        <v>#N/A</v>
      </c>
      <c r="C81" s="35"/>
      <c r="D81" s="30" t="s">
        <v>1552</v>
      </c>
      <c r="E81" s="15" t="s">
        <v>1553</v>
      </c>
    </row>
    <row r="82" spans="1:5" x14ac:dyDescent="0.25">
      <c r="A82" s="36" t="str">
        <f>VLOOKUP($C82,'Variable Information'!$A$2:$E$480,5,FALSE)</f>
        <v>region</v>
      </c>
      <c r="B82" s="36" t="str">
        <f>VLOOKUP($C82,'Variable Information'!$A$1:$C$480,3,FALSE)</f>
        <v>Region.</v>
      </c>
      <c r="C82" s="35" t="s">
        <v>42</v>
      </c>
      <c r="D82" s="30" t="s">
        <v>1447</v>
      </c>
      <c r="E82" s="15" t="s">
        <v>1517</v>
      </c>
    </row>
    <row r="83" spans="1:5" x14ac:dyDescent="0.25">
      <c r="A83" s="36" t="e">
        <f>VLOOKUP($C83,'Variable Information'!$A$2:$E$480,5,FALSE)</f>
        <v>#N/A</v>
      </c>
      <c r="B83" s="36" t="e">
        <f>VLOOKUP($C83,'Variable Information'!$A$1:$C$480,3,FALSE)</f>
        <v>#N/A</v>
      </c>
      <c r="C83" s="35"/>
      <c r="D83" s="30" t="s">
        <v>1449</v>
      </c>
      <c r="E83" s="15" t="s">
        <v>1554</v>
      </c>
    </row>
    <row r="84" spans="1:5" x14ac:dyDescent="0.25">
      <c r="A84" s="36" t="e">
        <f>VLOOKUP($C84,'Variable Information'!$A$2:$E$480,5,FALSE)</f>
        <v>#N/A</v>
      </c>
      <c r="B84" s="36" t="e">
        <f>VLOOKUP($C84,'Variable Information'!$A$1:$C$480,3,FALSE)</f>
        <v>#N/A</v>
      </c>
      <c r="C84" s="35"/>
      <c r="D84" s="30" t="s">
        <v>1451</v>
      </c>
      <c r="E84" s="15" t="s">
        <v>1555</v>
      </c>
    </row>
    <row r="85" spans="1:5" x14ac:dyDescent="0.25">
      <c r="A85" s="36" t="e">
        <f>VLOOKUP($C85,'Variable Information'!$A$2:$E$480,5,FALSE)</f>
        <v>#N/A</v>
      </c>
      <c r="B85" s="36" t="e">
        <f>VLOOKUP($C85,'Variable Information'!$A$1:$C$480,3,FALSE)</f>
        <v>#N/A</v>
      </c>
      <c r="C85" s="35"/>
      <c r="D85" s="30" t="s">
        <v>1456</v>
      </c>
      <c r="E85" s="15" t="s">
        <v>1556</v>
      </c>
    </row>
    <row r="86" spans="1:5" x14ac:dyDescent="0.25">
      <c r="A86" s="36" t="str">
        <f>VLOOKUP($C86,'Variable Information'!$A$2:$E$480,5,FALSE)</f>
        <v>tenant</v>
      </c>
      <c r="B86" s="36" t="str">
        <f>VLOOKUP($C86,'Variable Information'!$A$1:$C$480,3,FALSE)</f>
        <v>Q23_1. Are you currently or previously have been in the past two years...? - A tenant</v>
      </c>
      <c r="C86" s="35" t="s">
        <v>45</v>
      </c>
      <c r="D86" s="30" t="s">
        <v>1447</v>
      </c>
      <c r="E86" s="15" t="s">
        <v>1557</v>
      </c>
    </row>
    <row r="87" spans="1:5" x14ac:dyDescent="0.25">
      <c r="A87" s="36" t="e">
        <f>VLOOKUP($C87,'Variable Information'!$A$2:$E$480,5,FALSE)</f>
        <v>#N/A</v>
      </c>
      <c r="B87" s="36" t="e">
        <f>VLOOKUP($C87,'Variable Information'!$A$1:$C$480,3,FALSE)</f>
        <v>#N/A</v>
      </c>
      <c r="C87" s="35"/>
      <c r="D87" s="30" t="s">
        <v>1449</v>
      </c>
      <c r="E87" s="15" t="s">
        <v>1558</v>
      </c>
    </row>
    <row r="88" spans="1:5" x14ac:dyDescent="0.25">
      <c r="A88" s="36" t="str">
        <f>VLOOKUP($C88,'Variable Information'!$A$2:$E$480,5,FALSE)</f>
        <v>landlord</v>
      </c>
      <c r="B88" s="36" t="str">
        <f>VLOOKUP($C88,'Variable Information'!$A$1:$C$480,3,FALSE)</f>
        <v>Q23_1. Are you currently or previously have been in the past two years...? - A landlord</v>
      </c>
      <c r="C88" s="35" t="s">
        <v>48</v>
      </c>
      <c r="D88" s="30" t="s">
        <v>1447</v>
      </c>
      <c r="E88" s="15" t="s">
        <v>1557</v>
      </c>
    </row>
    <row r="89" spans="1:5" x14ac:dyDescent="0.25">
      <c r="A89" s="36" t="e">
        <f>VLOOKUP($C89,'Variable Information'!$A$2:$E$480,5,FALSE)</f>
        <v>#N/A</v>
      </c>
      <c r="B89" s="36" t="e">
        <f>VLOOKUP($C89,'Variable Information'!$A$1:$C$480,3,FALSE)</f>
        <v>#N/A</v>
      </c>
      <c r="C89" s="35"/>
      <c r="D89" s="30" t="s">
        <v>1449</v>
      </c>
      <c r="E89" s="15" t="s">
        <v>1558</v>
      </c>
    </row>
    <row r="90" spans="1:5" x14ac:dyDescent="0.25">
      <c r="A90" s="36" t="str">
        <f>VLOOKUP($C90,'Variable Information'!$A$2:$E$480,5,FALSE)</f>
        <v>home_owner</v>
      </c>
      <c r="B90" s="36" t="str">
        <f>VLOOKUP($C90,'Variable Information'!$A$1:$C$480,3,FALSE)</f>
        <v>Q23_1. Are you currently or previously have been in the past two years...? - A home-owner</v>
      </c>
      <c r="C90" s="35" t="s">
        <v>51</v>
      </c>
      <c r="D90" s="30" t="s">
        <v>1447</v>
      </c>
      <c r="E90" s="15" t="s">
        <v>1557</v>
      </c>
    </row>
    <row r="91" spans="1:5" x14ac:dyDescent="0.25">
      <c r="A91" s="36" t="e">
        <f>VLOOKUP($C91,'Variable Information'!$A$2:$E$480,5,FALSE)</f>
        <v>#N/A</v>
      </c>
      <c r="B91" s="36" t="e">
        <f>VLOOKUP($C91,'Variable Information'!$A$1:$C$480,3,FALSE)</f>
        <v>#N/A</v>
      </c>
      <c r="C91" s="35"/>
      <c r="D91" s="30" t="s">
        <v>1449</v>
      </c>
      <c r="E91" s="15" t="s">
        <v>1558</v>
      </c>
    </row>
    <row r="92" spans="1:5" x14ac:dyDescent="0.25">
      <c r="A92" s="36" t="str">
        <f>VLOOKUP($C92,'Variable Information'!$A$2:$E$480,5,FALSE)</f>
        <v>AJP_A1</v>
      </c>
      <c r="B92" s="36" t="str">
        <f>VLOOKUP($C92,'Variable Information'!$A$1:$C$480,3,FALSE)</f>
        <v>Q23_2_1_1. Issues experienced - Including issues with buying or selling property and disputes over title or ownership boundary locations and rights of way and Land Registry matters</v>
      </c>
      <c r="C92" s="35" t="s">
        <v>54</v>
      </c>
      <c r="D92" s="30" t="s">
        <v>1447</v>
      </c>
      <c r="E92" s="15" t="s">
        <v>1557</v>
      </c>
    </row>
    <row r="93" spans="1:5" x14ac:dyDescent="0.25">
      <c r="A93" s="36" t="e">
        <f>VLOOKUP($C93,'Variable Information'!$A$2:$E$480,5,FALSE)</f>
        <v>#N/A</v>
      </c>
      <c r="B93" s="36" t="e">
        <f>VLOOKUP($C93,'Variable Information'!$A$1:$C$480,3,FALSE)</f>
        <v>#N/A</v>
      </c>
      <c r="C93" s="35"/>
      <c r="D93" s="30" t="s">
        <v>1449</v>
      </c>
      <c r="E93" s="15" t="s">
        <v>1558</v>
      </c>
    </row>
    <row r="94" spans="1:5" x14ac:dyDescent="0.25">
      <c r="A94" s="36" t="e">
        <f>VLOOKUP($C94,'Variable Information'!$A$2:$E$480,5,FALSE)</f>
        <v>#N/A</v>
      </c>
      <c r="B94" s="36" t="e">
        <f>VLOOKUP($C94,'Variable Information'!$A$1:$C$480,3,FALSE)</f>
        <v>#N/A</v>
      </c>
      <c r="C94" s="35"/>
      <c r="D94" s="30" t="s">
        <v>1451</v>
      </c>
      <c r="E94" s="15" t="s">
        <v>1559</v>
      </c>
    </row>
    <row r="95" spans="1:5" x14ac:dyDescent="0.25">
      <c r="A95" s="36" t="str">
        <f>VLOOKUP($C95,'Variable Information'!$A$2:$E$480,5,FALSE)</f>
        <v>AJP_B1</v>
      </c>
      <c r="B95" s="36" t="str">
        <f>VLOOKUP($C95,'Variable Information'!$A$1:$C$480,3,FALSE)</f>
        <v>Q23_2_2_1. Issues experienced - Disputes about maintenance including of boundaries trees gardens</v>
      </c>
      <c r="C95" s="35" t="s">
        <v>58</v>
      </c>
      <c r="D95" s="30" t="s">
        <v>1447</v>
      </c>
      <c r="E95" s="15" t="s">
        <v>1557</v>
      </c>
    </row>
    <row r="96" spans="1:5" x14ac:dyDescent="0.25">
      <c r="A96" s="36" t="e">
        <f>VLOOKUP($C96,'Variable Information'!$A$2:$E$480,5,FALSE)</f>
        <v>#N/A</v>
      </c>
      <c r="B96" s="36" t="e">
        <f>VLOOKUP($C96,'Variable Information'!$A$1:$C$480,3,FALSE)</f>
        <v>#N/A</v>
      </c>
      <c r="C96" s="35"/>
      <c r="D96" s="30" t="s">
        <v>1449</v>
      </c>
      <c r="E96" s="15" t="s">
        <v>1558</v>
      </c>
    </row>
    <row r="97" spans="1:5" x14ac:dyDescent="0.25">
      <c r="A97" s="36" t="e">
        <f>VLOOKUP($C97,'Variable Information'!$A$2:$E$480,5,FALSE)</f>
        <v>#N/A</v>
      </c>
      <c r="B97" s="36" t="e">
        <f>VLOOKUP($C97,'Variable Information'!$A$1:$C$480,3,FALSE)</f>
        <v>#N/A</v>
      </c>
      <c r="C97" s="35"/>
      <c r="D97" s="30" t="s">
        <v>1451</v>
      </c>
      <c r="E97" s="15" t="s">
        <v>1559</v>
      </c>
    </row>
    <row r="98" spans="1:5" x14ac:dyDescent="0.25">
      <c r="A98" s="36" t="str">
        <f>VLOOKUP($C98,'Variable Information'!$A$2:$E$480,5,FALSE)</f>
        <v>AJP_B2</v>
      </c>
      <c r="B98" s="36" t="str">
        <f>VLOOKUP($C98,'Variable Information'!$A$1:$C$480,3,FALSE)</f>
        <v>Q23_2_2_2. Issues experienced - Problems or disputes to do with noise animals or unpleasant behaviour</v>
      </c>
      <c r="C98" s="35" t="s">
        <v>61</v>
      </c>
      <c r="D98" s="30" t="s">
        <v>1447</v>
      </c>
      <c r="E98" s="15" t="s">
        <v>1557</v>
      </c>
    </row>
    <row r="99" spans="1:5" x14ac:dyDescent="0.25">
      <c r="A99" s="36" t="e">
        <f>VLOOKUP($C99,'Variable Information'!$A$2:$E$480,5,FALSE)</f>
        <v>#N/A</v>
      </c>
      <c r="B99" s="36" t="e">
        <f>VLOOKUP($C99,'Variable Information'!$A$1:$C$480,3,FALSE)</f>
        <v>#N/A</v>
      </c>
      <c r="C99" s="35"/>
      <c r="D99" s="30" t="s">
        <v>1449</v>
      </c>
      <c r="E99" s="15" t="s">
        <v>1558</v>
      </c>
    </row>
    <row r="100" spans="1:5" x14ac:dyDescent="0.25">
      <c r="A100" s="36" t="e">
        <f>VLOOKUP($C100,'Variable Information'!$A$2:$E$480,5,FALSE)</f>
        <v>#N/A</v>
      </c>
      <c r="B100" s="36" t="e">
        <f>VLOOKUP($C100,'Variable Information'!$A$1:$C$480,3,FALSE)</f>
        <v>#N/A</v>
      </c>
      <c r="C100" s="35"/>
      <c r="D100" s="30" t="s">
        <v>1451</v>
      </c>
      <c r="E100" s="15" t="s">
        <v>1559</v>
      </c>
    </row>
    <row r="101" spans="1:5" x14ac:dyDescent="0.25">
      <c r="A101" s="36" t="str">
        <f>VLOOKUP($C101,'Variable Information'!$A$2:$E$480,5,FALSE)</f>
        <v>AJP_B3</v>
      </c>
      <c r="B101" s="36" t="str">
        <f>VLOOKUP($C101,'Variable Information'!$A$1:$C$480,3,FALSE)</f>
        <v>Q23_2_2_3. Issues experienced - Other disputes with neighbours such as issues with parking</v>
      </c>
      <c r="C101" s="35" t="s">
        <v>64</v>
      </c>
      <c r="D101" s="30" t="s">
        <v>1447</v>
      </c>
      <c r="E101" s="15" t="s">
        <v>1557</v>
      </c>
    </row>
    <row r="102" spans="1:5" x14ac:dyDescent="0.25">
      <c r="A102" s="36" t="e">
        <f>VLOOKUP($C102,'Variable Information'!$A$2:$E$480,5,FALSE)</f>
        <v>#N/A</v>
      </c>
      <c r="B102" s="36" t="e">
        <f>VLOOKUP($C102,'Variable Information'!$A$1:$C$480,3,FALSE)</f>
        <v>#N/A</v>
      </c>
      <c r="C102" s="35"/>
      <c r="D102" s="30" t="s">
        <v>1449</v>
      </c>
      <c r="E102" s="15" t="s">
        <v>1558</v>
      </c>
    </row>
    <row r="103" spans="1:5" x14ac:dyDescent="0.25">
      <c r="A103" s="36" t="e">
        <f>VLOOKUP($C103,'Variable Information'!$A$2:$E$480,5,FALSE)</f>
        <v>#N/A</v>
      </c>
      <c r="B103" s="36" t="e">
        <f>VLOOKUP($C103,'Variable Information'!$A$1:$C$480,3,FALSE)</f>
        <v>#N/A</v>
      </c>
      <c r="C103" s="35"/>
      <c r="D103" s="30" t="s">
        <v>1451</v>
      </c>
      <c r="E103" s="15" t="s">
        <v>1559</v>
      </c>
    </row>
    <row r="104" spans="1:5" x14ac:dyDescent="0.25">
      <c r="A104" s="36" t="str">
        <f>VLOOKUP($C104,'Variable Information'!$A$2:$E$480,5,FALSE)</f>
        <v>AJP_C1</v>
      </c>
      <c r="B104" s="36" t="str">
        <f>VLOOKUP($C104,'Variable Information'!$A$1:$C$480,3,FALSE)</f>
        <v>Q23_2_3_1. Issues experienced - Problems or disputes with your landlord over your rent or return of deposit</v>
      </c>
      <c r="C104" s="35" t="s">
        <v>67</v>
      </c>
      <c r="D104" s="30" t="s">
        <v>1447</v>
      </c>
      <c r="E104" s="15" t="s">
        <v>1557</v>
      </c>
    </row>
    <row r="105" spans="1:5" x14ac:dyDescent="0.25">
      <c r="A105" s="36" t="e">
        <f>VLOOKUP($C105,'Variable Information'!$A$2:$E$480,5,FALSE)</f>
        <v>#N/A</v>
      </c>
      <c r="B105" s="36" t="e">
        <f>VLOOKUP($C105,'Variable Information'!$A$1:$C$480,3,FALSE)</f>
        <v>#N/A</v>
      </c>
      <c r="C105" s="35"/>
      <c r="D105" s="30" t="s">
        <v>1449</v>
      </c>
      <c r="E105" s="15" t="s">
        <v>1558</v>
      </c>
    </row>
    <row r="106" spans="1:5" x14ac:dyDescent="0.25">
      <c r="A106" s="36" t="e">
        <f>VLOOKUP($C106,'Variable Information'!$A$2:$E$480,5,FALSE)</f>
        <v>#N/A</v>
      </c>
      <c r="B106" s="36" t="e">
        <f>VLOOKUP($C106,'Variable Information'!$A$1:$C$480,3,FALSE)</f>
        <v>#N/A</v>
      </c>
      <c r="C106" s="35"/>
      <c r="D106" s="30" t="s">
        <v>1451</v>
      </c>
      <c r="E106" s="15" t="s">
        <v>1559</v>
      </c>
    </row>
    <row r="107" spans="1:5" x14ac:dyDescent="0.25">
      <c r="A107" s="36" t="str">
        <f>VLOOKUP($C107,'Variable Information'!$A$2:$E$480,5,FALSE)</f>
        <v>AJP_C2</v>
      </c>
      <c r="B107" s="36" t="str">
        <f>VLOOKUP($C107,'Variable Information'!$A$1:$C$480,3,FALSE)</f>
        <v>Q23_2_3_2. Issues experienced - Problem with your landlord about the condition of your accommodation including damage/repairs</v>
      </c>
      <c r="C107" s="35" t="s">
        <v>70</v>
      </c>
      <c r="D107" s="30" t="s">
        <v>1447</v>
      </c>
      <c r="E107" s="15" t="s">
        <v>1557</v>
      </c>
    </row>
    <row r="108" spans="1:5" x14ac:dyDescent="0.25">
      <c r="A108" s="36" t="e">
        <f>VLOOKUP($C108,'Variable Information'!$A$2:$E$480,5,FALSE)</f>
        <v>#N/A</v>
      </c>
      <c r="B108" s="36" t="e">
        <f>VLOOKUP($C108,'Variable Information'!$A$1:$C$480,3,FALSE)</f>
        <v>#N/A</v>
      </c>
      <c r="C108" s="35"/>
      <c r="D108" s="30" t="s">
        <v>1449</v>
      </c>
      <c r="E108" s="15" t="s">
        <v>1558</v>
      </c>
    </row>
    <row r="109" spans="1:5" x14ac:dyDescent="0.25">
      <c r="A109" s="36" t="e">
        <f>VLOOKUP($C109,'Variable Information'!$A$2:$E$480,5,FALSE)</f>
        <v>#N/A</v>
      </c>
      <c r="B109" s="36" t="e">
        <f>VLOOKUP($C109,'Variable Information'!$A$1:$C$480,3,FALSE)</f>
        <v>#N/A</v>
      </c>
      <c r="C109" s="35"/>
      <c r="D109" s="30" t="s">
        <v>1451</v>
      </c>
      <c r="E109" s="15" t="s">
        <v>1559</v>
      </c>
    </row>
    <row r="110" spans="1:5" x14ac:dyDescent="0.25">
      <c r="A110" s="36" t="str">
        <f>VLOOKUP($C110,'Variable Information'!$A$2:$E$480,5,FALSE)</f>
        <v>AJP_C3</v>
      </c>
      <c r="B110" s="36" t="str">
        <f>VLOOKUP($C110,'Variable Information'!$A$1:$C$480,3,FALSE)</f>
        <v>Q23_2_3_3. Issues experienced - Eviction or threats of eviction or other harassment by a landlord</v>
      </c>
      <c r="C110" s="35" t="s">
        <v>73</v>
      </c>
      <c r="D110" s="30" t="s">
        <v>1447</v>
      </c>
      <c r="E110" s="15" t="s">
        <v>1557</v>
      </c>
    </row>
    <row r="111" spans="1:5" x14ac:dyDescent="0.25">
      <c r="A111" s="36" t="e">
        <f>VLOOKUP($C111,'Variable Information'!$A$2:$E$480,5,FALSE)</f>
        <v>#N/A</v>
      </c>
      <c r="B111" s="36" t="e">
        <f>VLOOKUP($C111,'Variable Information'!$A$1:$C$480,3,FALSE)</f>
        <v>#N/A</v>
      </c>
      <c r="C111" s="35"/>
      <c r="D111" s="30" t="s">
        <v>1449</v>
      </c>
      <c r="E111" s="15" t="s">
        <v>1558</v>
      </c>
    </row>
    <row r="112" spans="1:5" x14ac:dyDescent="0.25">
      <c r="A112" s="36" t="e">
        <f>VLOOKUP($C112,'Variable Information'!$A$2:$E$480,5,FALSE)</f>
        <v>#N/A</v>
      </c>
      <c r="B112" s="36" t="e">
        <f>VLOOKUP($C112,'Variable Information'!$A$1:$C$480,3,FALSE)</f>
        <v>#N/A</v>
      </c>
      <c r="C112" s="35"/>
      <c r="D112" s="30" t="s">
        <v>1451</v>
      </c>
      <c r="E112" s="15" t="s">
        <v>1559</v>
      </c>
    </row>
    <row r="113" spans="1:5" x14ac:dyDescent="0.25">
      <c r="A113" s="36" t="str">
        <f>VLOOKUP($C113,'Variable Information'!$A$2:$E$480,5,FALSE)</f>
        <v>AJP_D1</v>
      </c>
      <c r="B113" s="36" t="str">
        <f>VLOOKUP($C113,'Variable Information'!$A$1:$C$480,3,FALSE)</f>
        <v>Q23_2_4_1. Issues experienced - Issues with a tenant such as delayed/no payment of rent or dispute over a deposit</v>
      </c>
      <c r="C113" s="35" t="s">
        <v>76</v>
      </c>
      <c r="D113" s="30" t="s">
        <v>1447</v>
      </c>
      <c r="E113" s="15" t="s">
        <v>1557</v>
      </c>
    </row>
    <row r="114" spans="1:5" x14ac:dyDescent="0.25">
      <c r="A114" s="36" t="e">
        <f>VLOOKUP($C114,'Variable Information'!$A$2:$E$480,5,FALSE)</f>
        <v>#N/A</v>
      </c>
      <c r="B114" s="36" t="e">
        <f>VLOOKUP($C114,'Variable Information'!$A$1:$C$480,3,FALSE)</f>
        <v>#N/A</v>
      </c>
      <c r="C114" s="35"/>
      <c r="D114" s="30" t="s">
        <v>1449</v>
      </c>
      <c r="E114" s="15" t="s">
        <v>1558</v>
      </c>
    </row>
    <row r="115" spans="1:5" x14ac:dyDescent="0.25">
      <c r="A115" s="36" t="e">
        <f>VLOOKUP($C115,'Variable Information'!$A$2:$E$480,5,FALSE)</f>
        <v>#N/A</v>
      </c>
      <c r="B115" s="36" t="e">
        <f>VLOOKUP($C115,'Variable Information'!$A$1:$C$480,3,FALSE)</f>
        <v>#N/A</v>
      </c>
      <c r="C115" s="35"/>
      <c r="D115" s="30" t="s">
        <v>1451</v>
      </c>
      <c r="E115" s="15" t="s">
        <v>1559</v>
      </c>
    </row>
    <row r="116" spans="1:5" x14ac:dyDescent="0.25">
      <c r="A116" s="36" t="str">
        <f>VLOOKUP($C116,'Variable Information'!$A$2:$E$480,5,FALSE)</f>
        <v>AJP_D2</v>
      </c>
      <c r="B116" s="36" t="str">
        <f>VLOOKUP($C116,'Variable Information'!$A$1:$C$480,3,FALSE)</f>
        <v>Q23_2_4_2. Issues experienced - Property-related issues such as damage by tenants or access to property</v>
      </c>
      <c r="C116" s="35" t="s">
        <v>79</v>
      </c>
      <c r="D116" s="30" t="s">
        <v>1447</v>
      </c>
      <c r="E116" s="15" t="s">
        <v>1557</v>
      </c>
    </row>
    <row r="117" spans="1:5" x14ac:dyDescent="0.25">
      <c r="A117" s="36" t="e">
        <f>VLOOKUP($C117,'Variable Information'!$A$2:$E$480,5,FALSE)</f>
        <v>#N/A</v>
      </c>
      <c r="B117" s="36" t="e">
        <f>VLOOKUP($C117,'Variable Information'!$A$1:$C$480,3,FALSE)</f>
        <v>#N/A</v>
      </c>
      <c r="C117" s="35"/>
      <c r="D117" s="30" t="s">
        <v>1449</v>
      </c>
      <c r="E117" s="15" t="s">
        <v>1558</v>
      </c>
    </row>
    <row r="118" spans="1:5" x14ac:dyDescent="0.25">
      <c r="A118" s="36" t="e">
        <f>VLOOKUP($C118,'Variable Information'!$A$2:$E$480,5,FALSE)</f>
        <v>#N/A</v>
      </c>
      <c r="B118" s="36" t="e">
        <f>VLOOKUP($C118,'Variable Information'!$A$1:$C$480,3,FALSE)</f>
        <v>#N/A</v>
      </c>
      <c r="C118" s="35"/>
      <c r="D118" s="30" t="s">
        <v>1451</v>
      </c>
      <c r="E118" s="15" t="s">
        <v>1559</v>
      </c>
    </row>
    <row r="119" spans="1:5" x14ac:dyDescent="0.25">
      <c r="A119" s="36" t="str">
        <f>VLOOKUP($C119,'Variable Information'!$A$2:$E$480,5,FALSE)</f>
        <v>AJP_D3</v>
      </c>
      <c r="B119" s="36" t="str">
        <f>VLOOKUP($C119,'Variable Information'!$A$1:$C$480,3,FALSE)</f>
        <v>Q23_2_4_3. Issues experienced - Issues with tenants such as evictions or complaints</v>
      </c>
      <c r="C119" s="35" t="s">
        <v>82</v>
      </c>
      <c r="D119" s="30" t="s">
        <v>1447</v>
      </c>
      <c r="E119" s="15" t="s">
        <v>1557</v>
      </c>
    </row>
    <row r="120" spans="1:5" x14ac:dyDescent="0.25">
      <c r="A120" s="36" t="e">
        <f>VLOOKUP($C120,'Variable Information'!$A$2:$E$480,5,FALSE)</f>
        <v>#N/A</v>
      </c>
      <c r="B120" s="36" t="e">
        <f>VLOOKUP($C120,'Variable Information'!$A$1:$C$480,3,FALSE)</f>
        <v>#N/A</v>
      </c>
      <c r="C120" s="35"/>
      <c r="D120" s="30" t="s">
        <v>1449</v>
      </c>
      <c r="E120" s="15" t="s">
        <v>1558</v>
      </c>
    </row>
    <row r="121" spans="1:5" x14ac:dyDescent="0.25">
      <c r="A121" s="36" t="e">
        <f>VLOOKUP($C121,'Variable Information'!$A$2:$E$480,5,FALSE)</f>
        <v>#N/A</v>
      </c>
      <c r="B121" s="36" t="e">
        <f>VLOOKUP($C121,'Variable Information'!$A$1:$C$480,3,FALSE)</f>
        <v>#N/A</v>
      </c>
      <c r="C121" s="35"/>
      <c r="D121" s="30" t="s">
        <v>1451</v>
      </c>
      <c r="E121" s="15" t="s">
        <v>1559</v>
      </c>
    </row>
    <row r="122" spans="1:5" x14ac:dyDescent="0.25">
      <c r="A122" s="36" t="str">
        <f>VLOOKUP($C122,'Variable Information'!$A$2:$E$480,5,FALSE)</f>
        <v>AJP_E1</v>
      </c>
      <c r="B122" s="36" t="str">
        <f>VLOOKUP($C122,'Variable Information'!$A$1:$C$480,3,FALSE)</f>
        <v>Q23_2_5_1. Issues experienced - Building/planning related disputes</v>
      </c>
      <c r="C122" s="35" t="s">
        <v>85</v>
      </c>
      <c r="D122" s="30" t="s">
        <v>1447</v>
      </c>
      <c r="E122" s="15" t="s">
        <v>1557</v>
      </c>
    </row>
    <row r="123" spans="1:5" x14ac:dyDescent="0.25">
      <c r="A123" s="36" t="e">
        <f>VLOOKUP($C123,'Variable Information'!$A$2:$E$480,5,FALSE)</f>
        <v>#N/A</v>
      </c>
      <c r="B123" s="36" t="e">
        <f>VLOOKUP($C123,'Variable Information'!$A$1:$C$480,3,FALSE)</f>
        <v>#N/A</v>
      </c>
      <c r="C123" s="35"/>
      <c r="D123" s="30" t="s">
        <v>1449</v>
      </c>
      <c r="E123" s="15" t="s">
        <v>1558</v>
      </c>
    </row>
    <row r="124" spans="1:5" x14ac:dyDescent="0.25">
      <c r="A124" s="36" t="e">
        <f>VLOOKUP($C124,'Variable Information'!$A$2:$E$480,5,FALSE)</f>
        <v>#N/A</v>
      </c>
      <c r="B124" s="36" t="e">
        <f>VLOOKUP($C124,'Variable Information'!$A$1:$C$480,3,FALSE)</f>
        <v>#N/A</v>
      </c>
      <c r="C124" s="35"/>
      <c r="D124" s="30" t="s">
        <v>1451</v>
      </c>
      <c r="E124" s="15" t="s">
        <v>1559</v>
      </c>
    </row>
    <row r="125" spans="1:5" x14ac:dyDescent="0.25">
      <c r="A125" s="36" t="str">
        <f>VLOOKUP($C125,'Variable Information'!$A$2:$E$480,5,FALSE)</f>
        <v>AJP_E2</v>
      </c>
      <c r="B125" s="36" t="str">
        <f>VLOOKUP($C125,'Variable Information'!$A$1:$C$480,3,FALSE)</f>
        <v>Q23_2_5_2. Issues experienced - Issues with builders/tradespeople about the quality of construction or repairs or disputes about costs</v>
      </c>
      <c r="C125" s="35" t="s">
        <v>88</v>
      </c>
      <c r="D125" s="30" t="s">
        <v>1447</v>
      </c>
      <c r="E125" s="15" t="s">
        <v>1557</v>
      </c>
    </row>
    <row r="126" spans="1:5" x14ac:dyDescent="0.25">
      <c r="A126" s="36" t="e">
        <f>VLOOKUP($C126,'Variable Information'!$A$2:$E$480,5,FALSE)</f>
        <v>#N/A</v>
      </c>
      <c r="B126" s="36" t="e">
        <f>VLOOKUP($C126,'Variable Information'!$A$1:$C$480,3,FALSE)</f>
        <v>#N/A</v>
      </c>
      <c r="C126" s="35"/>
      <c r="D126" s="30" t="s">
        <v>1449</v>
      </c>
      <c r="E126" s="15" t="s">
        <v>1558</v>
      </c>
    </row>
    <row r="127" spans="1:5" x14ac:dyDescent="0.25">
      <c r="A127" s="36" t="e">
        <f>VLOOKUP($C127,'Variable Information'!$A$2:$E$480,5,FALSE)</f>
        <v>#N/A</v>
      </c>
      <c r="B127" s="36" t="e">
        <f>VLOOKUP($C127,'Variable Information'!$A$1:$C$480,3,FALSE)</f>
        <v>#N/A</v>
      </c>
      <c r="C127" s="35"/>
      <c r="D127" s="30" t="s">
        <v>1451</v>
      </c>
      <c r="E127" s="15" t="s">
        <v>1559</v>
      </c>
    </row>
    <row r="128" spans="1:5" x14ac:dyDescent="0.25">
      <c r="A128" s="36" t="str">
        <f>VLOOKUP($C128,'Variable Information'!$A$2:$E$480,5,FALSE)</f>
        <v>AJP_E3</v>
      </c>
      <c r="B128" s="36" t="str">
        <f>VLOOKUP($C128,'Variable Information'!$A$1:$C$480,3,FALSE)</f>
        <v>Q23_2_5_3. Issues experienced - Disputes about communal repairs/maintenance/costs</v>
      </c>
      <c r="C128" s="35" t="s">
        <v>91</v>
      </c>
      <c r="D128" s="30" t="s">
        <v>1447</v>
      </c>
      <c r="E128" s="15" t="s">
        <v>1557</v>
      </c>
    </row>
    <row r="129" spans="1:5" x14ac:dyDescent="0.25">
      <c r="A129" s="36" t="e">
        <f>VLOOKUP($C129,'Variable Information'!$A$2:$E$480,5,FALSE)</f>
        <v>#N/A</v>
      </c>
      <c r="B129" s="36" t="e">
        <f>VLOOKUP($C129,'Variable Information'!$A$1:$C$480,3,FALSE)</f>
        <v>#N/A</v>
      </c>
      <c r="C129" s="35"/>
      <c r="D129" s="30" t="s">
        <v>1449</v>
      </c>
      <c r="E129" s="15" t="s">
        <v>1558</v>
      </c>
    </row>
    <row r="130" spans="1:5" x14ac:dyDescent="0.25">
      <c r="A130" s="36" t="e">
        <f>VLOOKUP($C130,'Variable Information'!$A$2:$E$480,5,FALSE)</f>
        <v>#N/A</v>
      </c>
      <c r="B130" s="36" t="e">
        <f>VLOOKUP($C130,'Variable Information'!$A$1:$C$480,3,FALSE)</f>
        <v>#N/A</v>
      </c>
      <c r="C130" s="35"/>
      <c r="D130" s="30" t="s">
        <v>1451</v>
      </c>
      <c r="E130" s="15" t="s">
        <v>1559</v>
      </c>
    </row>
    <row r="131" spans="1:5" x14ac:dyDescent="0.25">
      <c r="A131" s="36" t="str">
        <f>VLOOKUP($C131,'Variable Information'!$A$2:$E$480,5,FALSE)</f>
        <v>AJP_E4</v>
      </c>
      <c r="B131" s="36" t="str">
        <f>VLOOKUP($C131,'Variable Information'!$A$1:$C$480,3,FALSE)</f>
        <v>Q23_2_5_4. Issues experienced - Problems or disputes concerning Local Property Tax or Council/local services</v>
      </c>
      <c r="C131" s="35" t="s">
        <v>94</v>
      </c>
      <c r="D131" s="30" t="s">
        <v>1447</v>
      </c>
      <c r="E131" s="15" t="s">
        <v>1557</v>
      </c>
    </row>
    <row r="132" spans="1:5" x14ac:dyDescent="0.25">
      <c r="A132" s="36" t="e">
        <f>VLOOKUP($C132,'Variable Information'!$A$2:$E$480,5,FALSE)</f>
        <v>#N/A</v>
      </c>
      <c r="B132" s="36" t="e">
        <f>VLOOKUP($C132,'Variable Information'!$A$1:$C$480,3,FALSE)</f>
        <v>#N/A</v>
      </c>
      <c r="C132" s="35"/>
      <c r="D132" s="30" t="s">
        <v>1449</v>
      </c>
      <c r="E132" s="15" t="s">
        <v>1558</v>
      </c>
    </row>
    <row r="133" spans="1:5" x14ac:dyDescent="0.25">
      <c r="A133" s="36" t="e">
        <f>VLOOKUP($C133,'Variable Information'!$A$2:$E$480,5,FALSE)</f>
        <v>#N/A</v>
      </c>
      <c r="B133" s="36" t="e">
        <f>VLOOKUP($C133,'Variable Information'!$A$1:$C$480,3,FALSE)</f>
        <v>#N/A</v>
      </c>
      <c r="C133" s="35"/>
      <c r="D133" s="30" t="s">
        <v>1451</v>
      </c>
      <c r="E133" s="15" t="s">
        <v>1559</v>
      </c>
    </row>
    <row r="134" spans="1:5" x14ac:dyDescent="0.25">
      <c r="A134" s="36" t="str">
        <f>VLOOKUP($C134,'Variable Information'!$A$2:$E$480,5,FALSE)</f>
        <v>AJP_E5</v>
      </c>
      <c r="B134" s="36" t="str">
        <f>VLOOKUP($C134,'Variable Information'!$A$1:$C$480,3,FALSE)</f>
        <v>Q23_2_5_5. Issues experienced - Squatters</v>
      </c>
      <c r="C134" s="35" t="s">
        <v>97</v>
      </c>
      <c r="D134" s="30" t="s">
        <v>1447</v>
      </c>
      <c r="E134" s="15" t="s">
        <v>1557</v>
      </c>
    </row>
    <row r="135" spans="1:5" x14ac:dyDescent="0.25">
      <c r="A135" s="36" t="e">
        <f>VLOOKUP($C135,'Variable Information'!$A$2:$E$480,5,FALSE)</f>
        <v>#N/A</v>
      </c>
      <c r="B135" s="36" t="e">
        <f>VLOOKUP($C135,'Variable Information'!$A$1:$C$480,3,FALSE)</f>
        <v>#N/A</v>
      </c>
      <c r="C135" s="35"/>
      <c r="D135" s="30" t="s">
        <v>1449</v>
      </c>
      <c r="E135" s="15" t="s">
        <v>1558</v>
      </c>
    </row>
    <row r="136" spans="1:5" x14ac:dyDescent="0.25">
      <c r="A136" s="36" t="e">
        <f>VLOOKUP($C136,'Variable Information'!$A$2:$E$480,5,FALSE)</f>
        <v>#N/A</v>
      </c>
      <c r="B136" s="36" t="e">
        <f>VLOOKUP($C136,'Variable Information'!$A$1:$C$480,3,FALSE)</f>
        <v>#N/A</v>
      </c>
      <c r="C136" s="35"/>
      <c r="D136" s="30" t="s">
        <v>1451</v>
      </c>
      <c r="E136" s="15" t="s">
        <v>1559</v>
      </c>
    </row>
    <row r="137" spans="1:5" x14ac:dyDescent="0.25">
      <c r="A137" s="36" t="str">
        <f>VLOOKUP($C137,'Variable Information'!$A$2:$E$480,5,FALSE)</f>
        <v>AJP_E6</v>
      </c>
      <c r="B137" s="36" t="str">
        <f>VLOOKUP($C137,'Variable Information'!$A$1:$C$480,3,FALSE)</f>
        <v>Q23_2_5_6. Issues experienced - Dispute with utilities/essential services (e.g. waste disposal water electricity internet or other utility provider)</v>
      </c>
      <c r="C137" s="35" t="s">
        <v>100</v>
      </c>
      <c r="D137" s="30" t="s">
        <v>1447</v>
      </c>
      <c r="E137" s="15" t="s">
        <v>1557</v>
      </c>
    </row>
    <row r="138" spans="1:5" x14ac:dyDescent="0.25">
      <c r="A138" s="36" t="e">
        <f>VLOOKUP($C138,'Variable Information'!$A$2:$E$480,5,FALSE)</f>
        <v>#N/A</v>
      </c>
      <c r="B138" s="36" t="e">
        <f>VLOOKUP($C138,'Variable Information'!$A$1:$C$480,3,FALSE)</f>
        <v>#N/A</v>
      </c>
      <c r="C138" s="35"/>
      <c r="D138" s="30" t="s">
        <v>1449</v>
      </c>
      <c r="E138" s="15" t="s">
        <v>1558</v>
      </c>
    </row>
    <row r="139" spans="1:5" x14ac:dyDescent="0.25">
      <c r="A139" s="36" t="e">
        <f>VLOOKUP($C139,'Variable Information'!$A$2:$E$480,5,FALSE)</f>
        <v>#N/A</v>
      </c>
      <c r="B139" s="36" t="e">
        <f>VLOOKUP($C139,'Variable Information'!$A$1:$C$480,3,FALSE)</f>
        <v>#N/A</v>
      </c>
      <c r="C139" s="35"/>
      <c r="D139" s="30" t="s">
        <v>1451</v>
      </c>
      <c r="E139" s="15" t="s">
        <v>1559</v>
      </c>
    </row>
    <row r="140" spans="1:5" x14ac:dyDescent="0.25">
      <c r="A140" s="36" t="str">
        <f>VLOOKUP($C140,'Variable Information'!$A$2:$E$480,5,FALSE)</f>
        <v>AJP_E7</v>
      </c>
      <c r="B140" s="36" t="str">
        <f>VLOOKUP($C140,'Variable Information'!$A$1:$C$480,3,FALSE)</f>
        <v>Q23_2_5_7. Issues experienced - Mortgage related issues including repossession threatened repossession or late payment</v>
      </c>
      <c r="C140" s="35" t="s">
        <v>103</v>
      </c>
      <c r="D140" s="30" t="s">
        <v>1447</v>
      </c>
      <c r="E140" s="15" t="s">
        <v>1557</v>
      </c>
    </row>
    <row r="141" spans="1:5" x14ac:dyDescent="0.25">
      <c r="A141" s="36" t="e">
        <f>VLOOKUP($C141,'Variable Information'!$A$2:$E$480,5,FALSE)</f>
        <v>#N/A</v>
      </c>
      <c r="B141" s="36" t="e">
        <f>VLOOKUP($C141,'Variable Information'!$A$1:$C$480,3,FALSE)</f>
        <v>#N/A</v>
      </c>
      <c r="C141" s="35"/>
      <c r="D141" s="30" t="s">
        <v>1449</v>
      </c>
      <c r="E141" s="15" t="s">
        <v>1558</v>
      </c>
    </row>
    <row r="142" spans="1:5" x14ac:dyDescent="0.25">
      <c r="A142" s="36" t="e">
        <f>VLOOKUP($C142,'Variable Information'!$A$2:$E$480,5,FALSE)</f>
        <v>#N/A</v>
      </c>
      <c r="B142" s="36" t="e">
        <f>VLOOKUP($C142,'Variable Information'!$A$1:$C$480,3,FALSE)</f>
        <v>#N/A</v>
      </c>
      <c r="C142" s="35"/>
      <c r="D142" s="30" t="s">
        <v>1451</v>
      </c>
      <c r="E142" s="15" t="s">
        <v>1559</v>
      </c>
    </row>
    <row r="143" spans="1:5" x14ac:dyDescent="0.25">
      <c r="A143" s="36" t="str">
        <f>VLOOKUP($C143,'Variable Information'!$A$2:$E$480,5,FALSE)</f>
        <v>AJP_F1</v>
      </c>
      <c r="B143" s="36" t="str">
        <f>VLOOKUP($C143,'Variable Information'!$A$1:$C$480,3,FALSE)</f>
        <v>Q23_2_6_1. Issues experienced - Separation and/or divorce</v>
      </c>
      <c r="C143" s="35" t="s">
        <v>106</v>
      </c>
      <c r="D143" s="30" t="s">
        <v>1447</v>
      </c>
      <c r="E143" s="15" t="s">
        <v>1557</v>
      </c>
    </row>
    <row r="144" spans="1:5" x14ac:dyDescent="0.25">
      <c r="A144" s="36" t="e">
        <f>VLOOKUP($C144,'Variable Information'!$A$2:$E$480,5,FALSE)</f>
        <v>#N/A</v>
      </c>
      <c r="B144" s="36" t="e">
        <f>VLOOKUP($C144,'Variable Information'!$A$1:$C$480,3,FALSE)</f>
        <v>#N/A</v>
      </c>
      <c r="C144" s="35"/>
      <c r="D144" s="30" t="s">
        <v>1449</v>
      </c>
      <c r="E144" s="15" t="s">
        <v>1558</v>
      </c>
    </row>
    <row r="145" spans="1:5" x14ac:dyDescent="0.25">
      <c r="A145" s="36" t="e">
        <f>VLOOKUP($C145,'Variable Information'!$A$2:$E$480,5,FALSE)</f>
        <v>#N/A</v>
      </c>
      <c r="B145" s="36" t="e">
        <f>VLOOKUP($C145,'Variable Information'!$A$1:$C$480,3,FALSE)</f>
        <v>#N/A</v>
      </c>
      <c r="C145" s="35"/>
      <c r="D145" s="30" t="s">
        <v>1451</v>
      </c>
      <c r="E145" s="15" t="s">
        <v>1559</v>
      </c>
    </row>
    <row r="146" spans="1:5" x14ac:dyDescent="0.25">
      <c r="A146" s="36" t="str">
        <f>VLOOKUP($C146,'Variable Information'!$A$2:$E$480,5,FALSE)</f>
        <v>AJP_F2</v>
      </c>
      <c r="B146" s="36" t="str">
        <f>VLOOKUP($C146,'Variable Information'!$A$1:$C$480,3,FALSE)</f>
        <v>Q23_2_6_2. Issues experienced - Violent or controlling behaviour by a current or former partner</v>
      </c>
      <c r="C146" s="35" t="s">
        <v>109</v>
      </c>
      <c r="D146" s="30" t="s">
        <v>1447</v>
      </c>
      <c r="E146" s="15" t="s">
        <v>1557</v>
      </c>
    </row>
    <row r="147" spans="1:5" x14ac:dyDescent="0.25">
      <c r="A147" s="36" t="e">
        <f>VLOOKUP($C147,'Variable Information'!$A$2:$E$480,5,FALSE)</f>
        <v>#N/A</v>
      </c>
      <c r="B147" s="36" t="e">
        <f>VLOOKUP($C147,'Variable Information'!$A$1:$C$480,3,FALSE)</f>
        <v>#N/A</v>
      </c>
      <c r="C147" s="35"/>
      <c r="D147" s="30" t="s">
        <v>1449</v>
      </c>
      <c r="E147" s="15" t="s">
        <v>1558</v>
      </c>
    </row>
    <row r="148" spans="1:5" x14ac:dyDescent="0.25">
      <c r="A148" s="36" t="e">
        <f>VLOOKUP($C148,'Variable Information'!$A$2:$E$480,5,FALSE)</f>
        <v>#N/A</v>
      </c>
      <c r="B148" s="36" t="e">
        <f>VLOOKUP($C148,'Variable Information'!$A$1:$C$480,3,FALSE)</f>
        <v>#N/A</v>
      </c>
      <c r="C148" s="35"/>
      <c r="D148" s="30" t="s">
        <v>1451</v>
      </c>
      <c r="E148" s="15" t="s">
        <v>1559</v>
      </c>
    </row>
    <row r="149" spans="1:5" x14ac:dyDescent="0.25">
      <c r="A149" s="36" t="str">
        <f>VLOOKUP($C149,'Variable Information'!$A$2:$E$480,5,FALSE)</f>
        <v>AJP_F3</v>
      </c>
      <c r="B149" s="36" t="str">
        <f>VLOOKUP($C149,'Variable Information'!$A$1:$C$480,3,FALSE)</f>
        <v>Q23_2_6_3. Issues experienced - Violent or controlling behaviour by another family member</v>
      </c>
      <c r="C149" s="35" t="s">
        <v>112</v>
      </c>
      <c r="D149" s="30" t="s">
        <v>1447</v>
      </c>
      <c r="E149" s="15" t="s">
        <v>1557</v>
      </c>
    </row>
    <row r="150" spans="1:5" x14ac:dyDescent="0.25">
      <c r="A150" s="36" t="e">
        <f>VLOOKUP($C150,'Variable Information'!$A$2:$E$480,5,FALSE)</f>
        <v>#N/A</v>
      </c>
      <c r="B150" s="36" t="e">
        <f>VLOOKUP($C150,'Variable Information'!$A$1:$C$480,3,FALSE)</f>
        <v>#N/A</v>
      </c>
      <c r="C150" s="35"/>
      <c r="D150" s="30" t="s">
        <v>1449</v>
      </c>
      <c r="E150" s="15" t="s">
        <v>1558</v>
      </c>
    </row>
    <row r="151" spans="1:5" x14ac:dyDescent="0.25">
      <c r="A151" s="36" t="e">
        <f>VLOOKUP($C151,'Variable Information'!$A$2:$E$480,5,FALSE)</f>
        <v>#N/A</v>
      </c>
      <c r="B151" s="36" t="e">
        <f>VLOOKUP($C151,'Variable Information'!$A$1:$C$480,3,FALSE)</f>
        <v>#N/A</v>
      </c>
      <c r="C151" s="35"/>
      <c r="D151" s="30" t="s">
        <v>1451</v>
      </c>
      <c r="E151" s="15" t="s">
        <v>1559</v>
      </c>
    </row>
    <row r="152" spans="1:5" x14ac:dyDescent="0.25">
      <c r="A152" s="36" t="str">
        <f>VLOOKUP($C152,'Variable Information'!$A$2:$E$480,5,FALSE)</f>
        <v>AJP_F4</v>
      </c>
      <c r="B152" s="36" t="str">
        <f>VLOOKUP($C152,'Variable Information'!$A$1:$C$480,3,FALSE)</f>
        <v>Q23_2_6_4. Issues experienced - Issues related to child access custody or child/spousal maintenance</v>
      </c>
      <c r="C152" s="35" t="s">
        <v>115</v>
      </c>
      <c r="D152" s="30" t="s">
        <v>1447</v>
      </c>
      <c r="E152" s="15" t="s">
        <v>1557</v>
      </c>
    </row>
    <row r="153" spans="1:5" x14ac:dyDescent="0.25">
      <c r="A153" s="36" t="e">
        <f>VLOOKUP($C153,'Variable Information'!$A$2:$E$480,5,FALSE)</f>
        <v>#N/A</v>
      </c>
      <c r="B153" s="36" t="e">
        <f>VLOOKUP($C153,'Variable Information'!$A$1:$C$480,3,FALSE)</f>
        <v>#N/A</v>
      </c>
      <c r="C153" s="35"/>
      <c r="D153" s="30" t="s">
        <v>1449</v>
      </c>
      <c r="E153" s="15" t="s">
        <v>1558</v>
      </c>
    </row>
    <row r="154" spans="1:5" x14ac:dyDescent="0.25">
      <c r="A154" s="36" t="e">
        <f>VLOOKUP($C154,'Variable Information'!$A$2:$E$480,5,FALSE)</f>
        <v>#N/A</v>
      </c>
      <c r="B154" s="36" t="e">
        <f>VLOOKUP($C154,'Variable Information'!$A$1:$C$480,3,FALSE)</f>
        <v>#N/A</v>
      </c>
      <c r="C154" s="35"/>
      <c r="D154" s="30" t="s">
        <v>1451</v>
      </c>
      <c r="E154" s="15" t="s">
        <v>1559</v>
      </c>
    </row>
    <row r="155" spans="1:5" x14ac:dyDescent="0.25">
      <c r="A155" s="36" t="str">
        <f>VLOOKUP($C155,'Variable Information'!$A$2:$E$480,5,FALSE)</f>
        <v>AJP_F5</v>
      </c>
      <c r="B155" s="36" t="str">
        <f>VLOOKUP($C155,'Variable Information'!$A$1:$C$480,3,FALSE)</f>
        <v>Q23_2_6_5. Issues experienced - Problems or disputes related to elderly or other dependent adult care</v>
      </c>
      <c r="C155" s="35" t="s">
        <v>118</v>
      </c>
      <c r="D155" s="30" t="s">
        <v>1447</v>
      </c>
      <c r="E155" s="15" t="s">
        <v>1557</v>
      </c>
    </row>
    <row r="156" spans="1:5" x14ac:dyDescent="0.25">
      <c r="A156" s="36" t="e">
        <f>VLOOKUP($C156,'Variable Information'!$A$2:$E$480,5,FALSE)</f>
        <v>#N/A</v>
      </c>
      <c r="B156" s="36" t="e">
        <f>VLOOKUP($C156,'Variable Information'!$A$1:$C$480,3,FALSE)</f>
        <v>#N/A</v>
      </c>
      <c r="C156" s="35"/>
      <c r="D156" s="30" t="s">
        <v>1449</v>
      </c>
      <c r="E156" s="15" t="s">
        <v>1558</v>
      </c>
    </row>
    <row r="157" spans="1:5" x14ac:dyDescent="0.25">
      <c r="A157" s="36" t="e">
        <f>VLOOKUP($C157,'Variable Information'!$A$2:$E$480,5,FALSE)</f>
        <v>#N/A</v>
      </c>
      <c r="B157" s="36" t="e">
        <f>VLOOKUP($C157,'Variable Information'!$A$1:$C$480,3,FALSE)</f>
        <v>#N/A</v>
      </c>
      <c r="C157" s="35"/>
      <c r="D157" s="30" t="s">
        <v>1451</v>
      </c>
      <c r="E157" s="15" t="s">
        <v>1559</v>
      </c>
    </row>
    <row r="158" spans="1:5" x14ac:dyDescent="0.25">
      <c r="A158" s="36" t="str">
        <f>VLOOKUP($C158,'Variable Information'!$A$2:$E$480,5,FALSE)</f>
        <v>AJP_F6</v>
      </c>
      <c r="B158" s="36" t="str">
        <f>VLOOKUP($C158,'Variable Information'!$A$1:$C$480,3,FALSE)</f>
        <v>Q23_2_6_6. Issues experienced - Disputes related to inheritance or a will</v>
      </c>
      <c r="C158" s="35" t="s">
        <v>121</v>
      </c>
      <c r="D158" s="30" t="s">
        <v>1447</v>
      </c>
      <c r="E158" s="15" t="s">
        <v>1557</v>
      </c>
    </row>
    <row r="159" spans="1:5" x14ac:dyDescent="0.25">
      <c r="A159" s="36" t="e">
        <f>VLOOKUP($C159,'Variable Information'!$A$2:$E$480,5,FALSE)</f>
        <v>#N/A</v>
      </c>
      <c r="B159" s="36" t="e">
        <f>VLOOKUP($C159,'Variable Information'!$A$1:$C$480,3,FALSE)</f>
        <v>#N/A</v>
      </c>
      <c r="C159" s="35"/>
      <c r="D159" s="30" t="s">
        <v>1449</v>
      </c>
      <c r="E159" s="15" t="s">
        <v>1558</v>
      </c>
    </row>
    <row r="160" spans="1:5" x14ac:dyDescent="0.25">
      <c r="A160" s="36" t="e">
        <f>VLOOKUP($C160,'Variable Information'!$A$2:$E$480,5,FALSE)</f>
        <v>#N/A</v>
      </c>
      <c r="B160" s="36" t="e">
        <f>VLOOKUP($C160,'Variable Information'!$A$1:$C$480,3,FALSE)</f>
        <v>#N/A</v>
      </c>
      <c r="C160" s="35"/>
      <c r="D160" s="30" t="s">
        <v>1451</v>
      </c>
      <c r="E160" s="15" t="s">
        <v>1559</v>
      </c>
    </row>
    <row r="161" spans="1:5" x14ac:dyDescent="0.25">
      <c r="A161" s="36" t="str">
        <f>VLOOKUP($C161,'Variable Information'!$A$2:$E$480,5,FALSE)</f>
        <v>AJP_G1</v>
      </c>
      <c r="B161" s="36" t="str">
        <f>VLOOKUP($C161,'Variable Information'!$A$1:$C$480,3,FALSE)</f>
        <v>Q23_2_7_1. Issues experienced - Issues obtaining or with an Irish visa or residence card renewal</v>
      </c>
      <c r="C161" s="35" t="s">
        <v>124</v>
      </c>
      <c r="D161" s="30" t="s">
        <v>1447</v>
      </c>
      <c r="E161" s="15" t="s">
        <v>1557</v>
      </c>
    </row>
    <row r="162" spans="1:5" x14ac:dyDescent="0.25">
      <c r="A162" s="36" t="e">
        <f>VLOOKUP($C162,'Variable Information'!$A$2:$E$480,5,FALSE)</f>
        <v>#N/A</v>
      </c>
      <c r="B162" s="36" t="e">
        <f>VLOOKUP($C162,'Variable Information'!$A$1:$C$480,3,FALSE)</f>
        <v>#N/A</v>
      </c>
      <c r="C162" s="35"/>
      <c r="D162" s="30" t="s">
        <v>1449</v>
      </c>
      <c r="E162" s="15" t="s">
        <v>1558</v>
      </c>
    </row>
    <row r="163" spans="1:5" x14ac:dyDescent="0.25">
      <c r="A163" s="36" t="e">
        <f>VLOOKUP($C163,'Variable Information'!$A$2:$E$480,5,FALSE)</f>
        <v>#N/A</v>
      </c>
      <c r="B163" s="36" t="e">
        <f>VLOOKUP($C163,'Variable Information'!$A$1:$C$480,3,FALSE)</f>
        <v>#N/A</v>
      </c>
      <c r="C163" s="35"/>
      <c r="D163" s="30" t="s">
        <v>1451</v>
      </c>
      <c r="E163" s="15" t="s">
        <v>1559</v>
      </c>
    </row>
    <row r="164" spans="1:5" x14ac:dyDescent="0.25">
      <c r="A164" s="36" t="str">
        <f>VLOOKUP($C164,'Variable Information'!$A$2:$E$480,5,FALSE)</f>
        <v>AJP_G2</v>
      </c>
      <c r="B164" s="36" t="str">
        <f>VLOOKUP($C164,'Variable Information'!$A$1:$C$480,3,FALSE)</f>
        <v>Q23_2_7_2. Issues experienced - Issues seeking international protection subsidiary protection or permission to remain</v>
      </c>
      <c r="C164" s="35" t="s">
        <v>127</v>
      </c>
      <c r="D164" s="30" t="s">
        <v>1447</v>
      </c>
      <c r="E164" s="15" t="s">
        <v>1557</v>
      </c>
    </row>
    <row r="165" spans="1:5" x14ac:dyDescent="0.25">
      <c r="A165" s="36" t="e">
        <f>VLOOKUP($C165,'Variable Information'!$A$2:$E$480,5,FALSE)</f>
        <v>#N/A</v>
      </c>
      <c r="B165" s="36" t="e">
        <f>VLOOKUP($C165,'Variable Information'!$A$1:$C$480,3,FALSE)</f>
        <v>#N/A</v>
      </c>
      <c r="C165" s="35"/>
      <c r="D165" s="30" t="s">
        <v>1449</v>
      </c>
      <c r="E165" s="15" t="s">
        <v>1558</v>
      </c>
    </row>
    <row r="166" spans="1:5" x14ac:dyDescent="0.25">
      <c r="A166" s="36" t="e">
        <f>VLOOKUP($C166,'Variable Information'!$A$2:$E$480,5,FALSE)</f>
        <v>#N/A</v>
      </c>
      <c r="B166" s="36" t="e">
        <f>VLOOKUP($C166,'Variable Information'!$A$1:$C$480,3,FALSE)</f>
        <v>#N/A</v>
      </c>
      <c r="C166" s="35"/>
      <c r="D166" s="30" t="s">
        <v>1451</v>
      </c>
      <c r="E166" s="15" t="s">
        <v>1559</v>
      </c>
    </row>
    <row r="167" spans="1:5" x14ac:dyDescent="0.25">
      <c r="A167" s="36" t="str">
        <f>VLOOKUP($C167,'Variable Information'!$A$2:$E$480,5,FALSE)</f>
        <v>AJP_G3</v>
      </c>
      <c r="B167" s="36" t="str">
        <f>VLOOKUP($C167,'Variable Information'!$A$1:$C$480,3,FALSE)</f>
        <v>Q23_2_7_3. Issues experienced - Issues with an overseas visa / EU residence / emigration</v>
      </c>
      <c r="C167" s="35" t="s">
        <v>130</v>
      </c>
      <c r="D167" s="30" t="s">
        <v>1447</v>
      </c>
      <c r="E167" s="15" t="s">
        <v>1557</v>
      </c>
    </row>
    <row r="168" spans="1:5" x14ac:dyDescent="0.25">
      <c r="A168" s="36" t="e">
        <f>VLOOKUP($C168,'Variable Information'!$A$2:$E$480,5,FALSE)</f>
        <v>#N/A</v>
      </c>
      <c r="B168" s="36" t="e">
        <f>VLOOKUP($C168,'Variable Information'!$A$1:$C$480,3,FALSE)</f>
        <v>#N/A</v>
      </c>
      <c r="C168" s="35"/>
      <c r="D168" s="30" t="s">
        <v>1449</v>
      </c>
      <c r="E168" s="15" t="s">
        <v>1558</v>
      </c>
    </row>
    <row r="169" spans="1:5" x14ac:dyDescent="0.25">
      <c r="A169" s="36" t="e">
        <f>VLOOKUP($C169,'Variable Information'!$A$2:$E$480,5,FALSE)</f>
        <v>#N/A</v>
      </c>
      <c r="B169" s="36" t="e">
        <f>VLOOKUP($C169,'Variable Information'!$A$1:$C$480,3,FALSE)</f>
        <v>#N/A</v>
      </c>
      <c r="C169" s="35"/>
      <c r="D169" s="30" t="s">
        <v>1451</v>
      </c>
      <c r="E169" s="15" t="s">
        <v>1559</v>
      </c>
    </row>
    <row r="170" spans="1:5" x14ac:dyDescent="0.25">
      <c r="A170" s="36" t="str">
        <f>VLOOKUP($C170,'Variable Information'!$A$2:$E$480,5,FALSE)</f>
        <v>AJP_G4</v>
      </c>
      <c r="B170" s="36" t="str">
        <f>VLOOKUP($C170,'Variable Information'!$A$1:$C$480,3,FALSE)</f>
        <v>Q23_2_7_4. Issues experienced - Issues applying for Irish naturalisation/citizenship</v>
      </c>
      <c r="C170" s="35" t="s">
        <v>133</v>
      </c>
      <c r="D170" s="30" t="s">
        <v>1447</v>
      </c>
      <c r="E170" s="15" t="s">
        <v>1557</v>
      </c>
    </row>
    <row r="171" spans="1:5" x14ac:dyDescent="0.25">
      <c r="A171" s="36" t="e">
        <f>VLOOKUP($C171,'Variable Information'!$A$2:$E$480,5,FALSE)</f>
        <v>#N/A</v>
      </c>
      <c r="B171" s="36" t="e">
        <f>VLOOKUP($C171,'Variable Information'!$A$1:$C$480,3,FALSE)</f>
        <v>#N/A</v>
      </c>
      <c r="C171" s="35"/>
      <c r="D171" s="30" t="s">
        <v>1449</v>
      </c>
      <c r="E171" s="15" t="s">
        <v>1558</v>
      </c>
    </row>
    <row r="172" spans="1:5" x14ac:dyDescent="0.25">
      <c r="A172" s="36" t="e">
        <f>VLOOKUP($C172,'Variable Information'!$A$2:$E$480,5,FALSE)</f>
        <v>#N/A</v>
      </c>
      <c r="B172" s="36" t="e">
        <f>VLOOKUP($C172,'Variable Information'!$A$1:$C$480,3,FALSE)</f>
        <v>#N/A</v>
      </c>
      <c r="C172" s="35"/>
      <c r="D172" s="30" t="s">
        <v>1451</v>
      </c>
      <c r="E172" s="15" t="s">
        <v>1559</v>
      </c>
    </row>
    <row r="173" spans="1:5" x14ac:dyDescent="0.25">
      <c r="A173" s="36" t="str">
        <f>VLOOKUP($C173,'Variable Information'!$A$2:$E$480,5,FALSE)</f>
        <v>AJP_G5</v>
      </c>
      <c r="B173" s="36" t="str">
        <f>VLOOKUP($C173,'Variable Information'!$A$1:$C$480,3,FALSE)</f>
        <v>Q23_2_7_5. Issues experienced - Other citizenship or migration related issue</v>
      </c>
      <c r="C173" s="35" t="s">
        <v>136</v>
      </c>
      <c r="D173" s="30" t="s">
        <v>1447</v>
      </c>
      <c r="E173" s="15" t="s">
        <v>1557</v>
      </c>
    </row>
    <row r="174" spans="1:5" x14ac:dyDescent="0.25">
      <c r="A174" s="36" t="e">
        <f>VLOOKUP($C174,'Variable Information'!$A$2:$E$480,5,FALSE)</f>
        <v>#N/A</v>
      </c>
      <c r="B174" s="36" t="e">
        <f>VLOOKUP($C174,'Variable Information'!$A$1:$C$480,3,FALSE)</f>
        <v>#N/A</v>
      </c>
      <c r="C174" s="35"/>
      <c r="D174" s="30" t="s">
        <v>1449</v>
      </c>
      <c r="E174" s="15" t="s">
        <v>1558</v>
      </c>
    </row>
    <row r="175" spans="1:5" x14ac:dyDescent="0.25">
      <c r="A175" s="36" t="e">
        <f>VLOOKUP($C175,'Variable Information'!$A$2:$E$480,5,FALSE)</f>
        <v>#N/A</v>
      </c>
      <c r="B175" s="36" t="e">
        <f>VLOOKUP($C175,'Variable Information'!$A$1:$C$480,3,FALSE)</f>
        <v>#N/A</v>
      </c>
      <c r="C175" s="35"/>
      <c r="D175" s="30" t="s">
        <v>1451</v>
      </c>
      <c r="E175" s="15" t="s">
        <v>1559</v>
      </c>
    </row>
    <row r="176" spans="1:5" x14ac:dyDescent="0.25">
      <c r="A176" s="36" t="str">
        <f>VLOOKUP($C176,'Variable Information'!$A$2:$E$480,5,FALSE)</f>
        <v>AJP_H1</v>
      </c>
      <c r="B176" s="36" t="str">
        <f>VLOOKUP($C176,'Variable Information'!$A$1:$C$480,3,FALSE)</f>
        <v>Q23_2_8_1. Issues experienced - A road traffic accident in which you were injured caused or made worse by someone else</v>
      </c>
      <c r="C176" s="35" t="s">
        <v>139</v>
      </c>
      <c r="D176" s="30" t="s">
        <v>1447</v>
      </c>
      <c r="E176" s="15" t="s">
        <v>1557</v>
      </c>
    </row>
    <row r="177" spans="1:5" x14ac:dyDescent="0.25">
      <c r="A177" s="36" t="e">
        <f>VLOOKUP($C177,'Variable Information'!$A$2:$E$480,5,FALSE)</f>
        <v>#N/A</v>
      </c>
      <c r="B177" s="36" t="e">
        <f>VLOOKUP($C177,'Variable Information'!$A$1:$C$480,3,FALSE)</f>
        <v>#N/A</v>
      </c>
      <c r="C177" s="35"/>
      <c r="D177" s="30" t="s">
        <v>1449</v>
      </c>
      <c r="E177" s="15" t="s">
        <v>1558</v>
      </c>
    </row>
    <row r="178" spans="1:5" x14ac:dyDescent="0.25">
      <c r="A178" s="36" t="e">
        <f>VLOOKUP($C178,'Variable Information'!$A$2:$E$480,5,FALSE)</f>
        <v>#N/A</v>
      </c>
      <c r="B178" s="36" t="e">
        <f>VLOOKUP($C178,'Variable Information'!$A$1:$C$480,3,FALSE)</f>
        <v>#N/A</v>
      </c>
      <c r="C178" s="35"/>
      <c r="D178" s="30" t="s">
        <v>1451</v>
      </c>
      <c r="E178" s="15" t="s">
        <v>1559</v>
      </c>
    </row>
    <row r="179" spans="1:5" x14ac:dyDescent="0.25">
      <c r="A179" s="36" t="str">
        <f>VLOOKUP($C179,'Variable Information'!$A$2:$E$480,5,FALSE)</f>
        <v>AJP_H2</v>
      </c>
      <c r="B179" s="36" t="str">
        <f>VLOOKUP($C179,'Variable Information'!$A$1:$C$480,3,FALSE)</f>
        <v>Q23_2_8_2. Issues experienced - A road traffic accident in which someone else was injured that you caused or made worse</v>
      </c>
      <c r="C179" s="35" t="s">
        <v>142</v>
      </c>
      <c r="D179" s="30" t="s">
        <v>1447</v>
      </c>
      <c r="E179" s="15" t="s">
        <v>1557</v>
      </c>
    </row>
    <row r="180" spans="1:5" x14ac:dyDescent="0.25">
      <c r="A180" s="36" t="e">
        <f>VLOOKUP($C180,'Variable Information'!$A$2:$E$480,5,FALSE)</f>
        <v>#N/A</v>
      </c>
      <c r="B180" s="36" t="e">
        <f>VLOOKUP($C180,'Variable Information'!$A$1:$C$480,3,FALSE)</f>
        <v>#N/A</v>
      </c>
      <c r="C180" s="35"/>
      <c r="D180" s="30" t="s">
        <v>1449</v>
      </c>
      <c r="E180" s="15" t="s">
        <v>1558</v>
      </c>
    </row>
    <row r="181" spans="1:5" x14ac:dyDescent="0.25">
      <c r="A181" s="36" t="e">
        <f>VLOOKUP($C181,'Variable Information'!$A$2:$E$480,5,FALSE)</f>
        <v>#N/A</v>
      </c>
      <c r="B181" s="36" t="e">
        <f>VLOOKUP($C181,'Variable Information'!$A$1:$C$480,3,FALSE)</f>
        <v>#N/A</v>
      </c>
      <c r="C181" s="35"/>
      <c r="D181" s="30" t="s">
        <v>1451</v>
      </c>
      <c r="E181" s="15" t="s">
        <v>1559</v>
      </c>
    </row>
    <row r="182" spans="1:5" x14ac:dyDescent="0.25">
      <c r="A182" s="36" t="str">
        <f>VLOOKUP($C182,'Variable Information'!$A$2:$E$480,5,FALSE)</f>
        <v>AJP_H3</v>
      </c>
      <c r="B182" s="36" t="str">
        <f>VLOOKUP($C182,'Variable Information'!$A$1:$C$480,3,FALSE)</f>
        <v>Q23_2_8_3. Issues experienced - Work-related accident</v>
      </c>
      <c r="C182" s="35" t="s">
        <v>145</v>
      </c>
      <c r="D182" s="30" t="s">
        <v>1447</v>
      </c>
      <c r="E182" s="15" t="s">
        <v>1557</v>
      </c>
    </row>
    <row r="183" spans="1:5" x14ac:dyDescent="0.25">
      <c r="A183" s="36" t="e">
        <f>VLOOKUP($C183,'Variable Information'!$A$2:$E$480,5,FALSE)</f>
        <v>#N/A</v>
      </c>
      <c r="B183" s="36" t="e">
        <f>VLOOKUP($C183,'Variable Information'!$A$1:$C$480,3,FALSE)</f>
        <v>#N/A</v>
      </c>
      <c r="C183" s="35"/>
      <c r="D183" s="30" t="s">
        <v>1449</v>
      </c>
      <c r="E183" s="15" t="s">
        <v>1558</v>
      </c>
    </row>
    <row r="184" spans="1:5" x14ac:dyDescent="0.25">
      <c r="A184" s="36" t="e">
        <f>VLOOKUP($C184,'Variable Information'!$A$2:$E$480,5,FALSE)</f>
        <v>#N/A</v>
      </c>
      <c r="B184" s="36" t="e">
        <f>VLOOKUP($C184,'Variable Information'!$A$1:$C$480,3,FALSE)</f>
        <v>#N/A</v>
      </c>
      <c r="C184" s="35"/>
      <c r="D184" s="30" t="s">
        <v>1451</v>
      </c>
      <c r="E184" s="15" t="s">
        <v>1559</v>
      </c>
    </row>
    <row r="185" spans="1:5" x14ac:dyDescent="0.25">
      <c r="A185" s="36" t="str">
        <f>VLOOKUP($C185,'Variable Information'!$A$2:$E$480,5,FALSE)</f>
        <v>AJP_H4</v>
      </c>
      <c r="B185" s="36" t="str">
        <f>VLOOKUP($C185,'Variable Information'!$A$1:$C$480,3,FALSE)</f>
        <v>Q23_2_8_4. Issues experienced - Wrong or negligent medical treatment</v>
      </c>
      <c r="C185" s="35" t="s">
        <v>148</v>
      </c>
      <c r="D185" s="30" t="s">
        <v>1447</v>
      </c>
      <c r="E185" s="15" t="s">
        <v>1557</v>
      </c>
    </row>
    <row r="186" spans="1:5" x14ac:dyDescent="0.25">
      <c r="A186" s="36" t="e">
        <f>VLOOKUP($C186,'Variable Information'!$A$2:$E$480,5,FALSE)</f>
        <v>#N/A</v>
      </c>
      <c r="B186" s="36" t="e">
        <f>VLOOKUP($C186,'Variable Information'!$A$1:$C$480,3,FALSE)</f>
        <v>#N/A</v>
      </c>
      <c r="C186" s="35"/>
      <c r="D186" s="30" t="s">
        <v>1449</v>
      </c>
      <c r="E186" s="15" t="s">
        <v>1558</v>
      </c>
    </row>
    <row r="187" spans="1:5" x14ac:dyDescent="0.25">
      <c r="A187" s="36" t="e">
        <f>VLOOKUP($C187,'Variable Information'!$A$2:$E$480,5,FALSE)</f>
        <v>#N/A</v>
      </c>
      <c r="B187" s="36" t="e">
        <f>VLOOKUP($C187,'Variable Information'!$A$1:$C$480,3,FALSE)</f>
        <v>#N/A</v>
      </c>
      <c r="C187" s="35"/>
      <c r="D187" s="30" t="s">
        <v>1451</v>
      </c>
      <c r="E187" s="15" t="s">
        <v>1559</v>
      </c>
    </row>
    <row r="188" spans="1:5" x14ac:dyDescent="0.25">
      <c r="A188" s="36" t="str">
        <f>VLOOKUP($C188,'Variable Information'!$A$2:$E$480,5,FALSE)</f>
        <v>AJP_H5</v>
      </c>
      <c r="B188" s="36" t="str">
        <f>VLOOKUP($C188,'Variable Information'!$A$1:$C$480,3,FALSE)</f>
        <v>Q23_2_8_5. Issues experienced - Other injury or illness caused or worsened by someone else</v>
      </c>
      <c r="C188" s="35" t="s">
        <v>151</v>
      </c>
      <c r="D188" s="30" t="s">
        <v>1447</v>
      </c>
      <c r="E188" s="15" t="s">
        <v>1557</v>
      </c>
    </row>
    <row r="189" spans="1:5" x14ac:dyDescent="0.25">
      <c r="A189" s="36" t="e">
        <f>VLOOKUP($C189,'Variable Information'!$A$2:$E$480,5,FALSE)</f>
        <v>#N/A</v>
      </c>
      <c r="B189" s="36" t="e">
        <f>VLOOKUP($C189,'Variable Information'!$A$1:$C$480,3,FALSE)</f>
        <v>#N/A</v>
      </c>
      <c r="C189" s="35"/>
      <c r="D189" s="30" t="s">
        <v>1449</v>
      </c>
      <c r="E189" s="15" t="s">
        <v>1558</v>
      </c>
    </row>
    <row r="190" spans="1:5" x14ac:dyDescent="0.25">
      <c r="A190" s="36" t="e">
        <f>VLOOKUP($C190,'Variable Information'!$A$2:$E$480,5,FALSE)</f>
        <v>#N/A</v>
      </c>
      <c r="B190" s="36" t="e">
        <f>VLOOKUP($C190,'Variable Information'!$A$1:$C$480,3,FALSE)</f>
        <v>#N/A</v>
      </c>
      <c r="C190" s="35"/>
      <c r="D190" s="30" t="s">
        <v>1451</v>
      </c>
      <c r="E190" s="15" t="s">
        <v>1559</v>
      </c>
    </row>
    <row r="191" spans="1:5" x14ac:dyDescent="0.25">
      <c r="A191" s="36" t="str">
        <f>VLOOKUP($C191,'Variable Information'!$A$2:$E$480,5,FALSE)</f>
        <v>AJP_I1</v>
      </c>
      <c r="B191" s="36" t="str">
        <f>VLOOKUP($C191,'Variable Information'!$A$1:$C$480,3,FALSE)</f>
        <v>Q23_2_9_1. Issues experienced - Issues with jobseekers benefit or jobseekers allowance</v>
      </c>
      <c r="C191" s="35" t="s">
        <v>154</v>
      </c>
      <c r="D191" s="30" t="s">
        <v>1447</v>
      </c>
      <c r="E191" s="15" t="s">
        <v>1557</v>
      </c>
    </row>
    <row r="192" spans="1:5" x14ac:dyDescent="0.25">
      <c r="A192" s="36" t="e">
        <f>VLOOKUP($C192,'Variable Information'!$A$2:$E$480,5,FALSE)</f>
        <v>#N/A</v>
      </c>
      <c r="B192" s="36" t="e">
        <f>VLOOKUP($C192,'Variable Information'!$A$1:$C$480,3,FALSE)</f>
        <v>#N/A</v>
      </c>
      <c r="C192" s="35"/>
      <c r="D192" s="30" t="s">
        <v>1449</v>
      </c>
      <c r="E192" s="15" t="s">
        <v>1558</v>
      </c>
    </row>
    <row r="193" spans="1:5" x14ac:dyDescent="0.25">
      <c r="A193" s="36" t="e">
        <f>VLOOKUP($C193,'Variable Information'!$A$2:$E$480,5,FALSE)</f>
        <v>#N/A</v>
      </c>
      <c r="B193" s="36" t="e">
        <f>VLOOKUP($C193,'Variable Information'!$A$1:$C$480,3,FALSE)</f>
        <v>#N/A</v>
      </c>
      <c r="C193" s="35"/>
      <c r="D193" s="30" t="s">
        <v>1451</v>
      </c>
      <c r="E193" s="15" t="s">
        <v>1559</v>
      </c>
    </row>
    <row r="194" spans="1:5" x14ac:dyDescent="0.25">
      <c r="A194" s="36" t="str">
        <f>VLOOKUP($C194,'Variable Information'!$A$2:$E$480,5,FALSE)</f>
        <v>AJP_I2</v>
      </c>
      <c r="B194" s="36" t="str">
        <f>VLOOKUP($C194,'Variable Information'!$A$1:$C$480,3,FALSE)</f>
        <v>Q23_2_9_2. Issues experienced - Issues related to maternity/parental government benefit</v>
      </c>
      <c r="C194" s="35" t="s">
        <v>157</v>
      </c>
      <c r="D194" s="30" t="s">
        <v>1447</v>
      </c>
      <c r="E194" s="15" t="s">
        <v>1557</v>
      </c>
    </row>
    <row r="195" spans="1:5" x14ac:dyDescent="0.25">
      <c r="A195" s="36" t="e">
        <f>VLOOKUP($C195,'Variable Information'!$A$2:$E$480,5,FALSE)</f>
        <v>#N/A</v>
      </c>
      <c r="B195" s="36" t="e">
        <f>VLOOKUP($C195,'Variable Information'!$A$1:$C$480,3,FALSE)</f>
        <v>#N/A</v>
      </c>
      <c r="C195" s="35"/>
      <c r="D195" s="30" t="s">
        <v>1449</v>
      </c>
      <c r="E195" s="15" t="s">
        <v>1558</v>
      </c>
    </row>
    <row r="196" spans="1:5" x14ac:dyDescent="0.25">
      <c r="A196" s="36" t="e">
        <f>VLOOKUP($C196,'Variable Information'!$A$2:$E$480,5,FALSE)</f>
        <v>#N/A</v>
      </c>
      <c r="B196" s="36" t="e">
        <f>VLOOKUP($C196,'Variable Information'!$A$1:$C$480,3,FALSE)</f>
        <v>#N/A</v>
      </c>
      <c r="C196" s="35"/>
      <c r="D196" s="30" t="s">
        <v>1451</v>
      </c>
      <c r="E196" s="15" t="s">
        <v>1559</v>
      </c>
    </row>
    <row r="197" spans="1:5" x14ac:dyDescent="0.25">
      <c r="A197" s="36" t="str">
        <f>VLOOKUP($C197,'Variable Information'!$A$2:$E$480,5,FALSE)</f>
        <v>AJP_I3</v>
      </c>
      <c r="B197" s="36" t="str">
        <f>VLOOKUP($C197,'Variable Information'!$A$1:$C$480,3,FALSE)</f>
        <v>Q23_2_9_3. Issues experienced - Issues related to the State pension</v>
      </c>
      <c r="C197" s="35" t="s">
        <v>160</v>
      </c>
      <c r="D197" s="30" t="s">
        <v>1447</v>
      </c>
      <c r="E197" s="15" t="s">
        <v>1557</v>
      </c>
    </row>
    <row r="198" spans="1:5" x14ac:dyDescent="0.25">
      <c r="A198" s="36" t="e">
        <f>VLOOKUP($C198,'Variable Information'!$A$2:$E$480,5,FALSE)</f>
        <v>#N/A</v>
      </c>
      <c r="B198" s="36" t="e">
        <f>VLOOKUP($C198,'Variable Information'!$A$1:$C$480,3,FALSE)</f>
        <v>#N/A</v>
      </c>
      <c r="C198" s="35"/>
      <c r="D198" s="30" t="s">
        <v>1449</v>
      </c>
      <c r="E198" s="15" t="s">
        <v>1558</v>
      </c>
    </row>
    <row r="199" spans="1:5" x14ac:dyDescent="0.25">
      <c r="A199" s="36" t="e">
        <f>VLOOKUP($C199,'Variable Information'!$A$2:$E$480,5,FALSE)</f>
        <v>#N/A</v>
      </c>
      <c r="B199" s="36" t="e">
        <f>VLOOKUP($C199,'Variable Information'!$A$1:$C$480,3,FALSE)</f>
        <v>#N/A</v>
      </c>
      <c r="C199" s="35"/>
      <c r="D199" s="30" t="s">
        <v>1451</v>
      </c>
      <c r="E199" s="15" t="s">
        <v>1559</v>
      </c>
    </row>
    <row r="200" spans="1:5" x14ac:dyDescent="0.25">
      <c r="A200" s="36" t="str">
        <f>VLOOKUP($C200,'Variable Information'!$A$2:$E$480,5,FALSE)</f>
        <v>AJP_I4</v>
      </c>
      <c r="B200" s="36" t="str">
        <f>VLOOKUP($C200,'Variable Information'!$A$1:$C$480,3,FALSE)</f>
        <v>Q23_2_9_4. Issues experienced - Issues with education-related grants (e.g. student grant scheme)</v>
      </c>
      <c r="C200" s="35" t="s">
        <v>163</v>
      </c>
      <c r="D200" s="30" t="s">
        <v>1447</v>
      </c>
      <c r="E200" s="15" t="s">
        <v>1557</v>
      </c>
    </row>
    <row r="201" spans="1:5" x14ac:dyDescent="0.25">
      <c r="A201" s="36" t="e">
        <f>VLOOKUP($C201,'Variable Information'!$A$2:$E$480,5,FALSE)</f>
        <v>#N/A</v>
      </c>
      <c r="B201" s="36" t="e">
        <f>VLOOKUP($C201,'Variable Information'!$A$1:$C$480,3,FALSE)</f>
        <v>#N/A</v>
      </c>
      <c r="C201" s="35"/>
      <c r="D201" s="30" t="s">
        <v>1449</v>
      </c>
      <c r="E201" s="15" t="s">
        <v>1558</v>
      </c>
    </row>
    <row r="202" spans="1:5" x14ac:dyDescent="0.25">
      <c r="A202" s="36" t="e">
        <f>VLOOKUP($C202,'Variable Information'!$A$2:$E$480,5,FALSE)</f>
        <v>#N/A</v>
      </c>
      <c r="B202" s="36" t="e">
        <f>VLOOKUP($C202,'Variable Information'!$A$1:$C$480,3,FALSE)</f>
        <v>#N/A</v>
      </c>
      <c r="C202" s="35"/>
      <c r="D202" s="30" t="s">
        <v>1451</v>
      </c>
      <c r="E202" s="15" t="s">
        <v>1559</v>
      </c>
    </row>
    <row r="203" spans="1:5" x14ac:dyDescent="0.25">
      <c r="A203" s="36" t="str">
        <f>VLOOKUP($C203,'Variable Information'!$A$2:$E$480,5,FALSE)</f>
        <v>AJP_I5</v>
      </c>
      <c r="B203" s="36" t="str">
        <f>VLOOKUP($C203,'Variable Information'!$A$1:$C$480,3,FALSE)</f>
        <v>Q23_2_9_5. Issues experienced - Issues with Disability Allowance</v>
      </c>
      <c r="C203" s="35" t="s">
        <v>166</v>
      </c>
      <c r="D203" s="30" t="s">
        <v>1447</v>
      </c>
      <c r="E203" s="15" t="s">
        <v>1557</v>
      </c>
    </row>
    <row r="204" spans="1:5" x14ac:dyDescent="0.25">
      <c r="A204" s="36" t="e">
        <f>VLOOKUP($C204,'Variable Information'!$A$2:$E$480,5,FALSE)</f>
        <v>#N/A</v>
      </c>
      <c r="B204" s="36" t="e">
        <f>VLOOKUP($C204,'Variable Information'!$A$1:$C$480,3,FALSE)</f>
        <v>#N/A</v>
      </c>
      <c r="C204" s="35"/>
      <c r="D204" s="30" t="s">
        <v>1449</v>
      </c>
      <c r="E204" s="15" t="s">
        <v>1558</v>
      </c>
    </row>
    <row r="205" spans="1:5" x14ac:dyDescent="0.25">
      <c r="A205" s="36" t="e">
        <f>VLOOKUP($C205,'Variable Information'!$A$2:$E$480,5,FALSE)</f>
        <v>#N/A</v>
      </c>
      <c r="B205" s="36" t="e">
        <f>VLOOKUP($C205,'Variable Information'!$A$1:$C$480,3,FALSE)</f>
        <v>#N/A</v>
      </c>
      <c r="C205" s="35"/>
      <c r="D205" s="30" t="s">
        <v>1451</v>
      </c>
      <c r="E205" s="15" t="s">
        <v>1559</v>
      </c>
    </row>
    <row r="206" spans="1:5" x14ac:dyDescent="0.25">
      <c r="A206" s="36" t="str">
        <f>VLOOKUP($C206,'Variable Information'!$A$2:$E$480,5,FALSE)</f>
        <v>AJP_I6</v>
      </c>
      <c r="B206" s="36" t="str">
        <f>VLOOKUP($C206,'Variable Information'!$A$1:$C$480,3,FALSE)</f>
        <v>Q23_2_9_6. Issues experienced - Other government benefit/payment issues</v>
      </c>
      <c r="C206" s="35" t="s">
        <v>169</v>
      </c>
      <c r="D206" s="30" t="s">
        <v>1447</v>
      </c>
      <c r="E206" s="15" t="s">
        <v>1557</v>
      </c>
    </row>
    <row r="207" spans="1:5" x14ac:dyDescent="0.25">
      <c r="A207" s="36" t="e">
        <f>VLOOKUP($C207,'Variable Information'!$A$2:$E$480,5,FALSE)</f>
        <v>#N/A</v>
      </c>
      <c r="B207" s="36" t="e">
        <f>VLOOKUP($C207,'Variable Information'!$A$1:$C$480,3,FALSE)</f>
        <v>#N/A</v>
      </c>
      <c r="C207" s="35"/>
      <c r="D207" s="30" t="s">
        <v>1449</v>
      </c>
      <c r="E207" s="15" t="s">
        <v>1558</v>
      </c>
    </row>
    <row r="208" spans="1:5" x14ac:dyDescent="0.25">
      <c r="A208" s="36" t="e">
        <f>VLOOKUP($C208,'Variable Information'!$A$2:$E$480,5,FALSE)</f>
        <v>#N/A</v>
      </c>
      <c r="B208" s="36" t="e">
        <f>VLOOKUP($C208,'Variable Information'!$A$1:$C$480,3,FALSE)</f>
        <v>#N/A</v>
      </c>
      <c r="C208" s="35"/>
      <c r="D208" s="30" t="s">
        <v>1451</v>
      </c>
      <c r="E208" s="15" t="s">
        <v>1559</v>
      </c>
    </row>
    <row r="209" spans="1:5" x14ac:dyDescent="0.25">
      <c r="A209" s="36" t="str">
        <f>VLOOKUP($C209,'Variable Information'!$A$2:$E$480,5,FALSE)</f>
        <v>AJP_J1</v>
      </c>
      <c r="B209" s="36" t="str">
        <f>VLOOKUP($C209,'Variable Information'!$A$1:$C$480,3,FALSE)</f>
        <v>Q23_2_10_1. Issues experienced - Issues obtaining an Irish Passport other ID licences or other official documents</v>
      </c>
      <c r="C209" s="35" t="s">
        <v>172</v>
      </c>
      <c r="D209" s="30" t="s">
        <v>1447</v>
      </c>
      <c r="E209" s="15" t="s">
        <v>1557</v>
      </c>
    </row>
    <row r="210" spans="1:5" x14ac:dyDescent="0.25">
      <c r="A210" s="36" t="e">
        <f>VLOOKUP($C210,'Variable Information'!$A$2:$E$480,5,FALSE)</f>
        <v>#N/A</v>
      </c>
      <c r="B210" s="36" t="e">
        <f>VLOOKUP($C210,'Variable Information'!$A$1:$C$480,3,FALSE)</f>
        <v>#N/A</v>
      </c>
      <c r="C210" s="35"/>
      <c r="D210" s="30" t="s">
        <v>1449</v>
      </c>
      <c r="E210" s="15" t="s">
        <v>1558</v>
      </c>
    </row>
    <row r="211" spans="1:5" x14ac:dyDescent="0.25">
      <c r="A211" s="36" t="e">
        <f>VLOOKUP($C211,'Variable Information'!$A$2:$E$480,5,FALSE)</f>
        <v>#N/A</v>
      </c>
      <c r="B211" s="36" t="e">
        <f>VLOOKUP($C211,'Variable Information'!$A$1:$C$480,3,FALSE)</f>
        <v>#N/A</v>
      </c>
      <c r="C211" s="35"/>
      <c r="D211" s="30" t="s">
        <v>1451</v>
      </c>
      <c r="E211" s="15" t="s">
        <v>1559</v>
      </c>
    </row>
    <row r="212" spans="1:5" x14ac:dyDescent="0.25">
      <c r="A212" s="36" t="str">
        <f>VLOOKUP($C212,'Variable Information'!$A$2:$E$480,5,FALSE)</f>
        <v>AJP_J2</v>
      </c>
      <c r="B212" s="36" t="str">
        <f>VLOOKUP($C212,'Variable Information'!$A$1:$C$480,3,FALSE)</f>
        <v>Q23_2_10_2. Issues experienced - Issues with obtaining healthcare or disability services</v>
      </c>
      <c r="C212" s="35" t="s">
        <v>175</v>
      </c>
      <c r="D212" s="30" t="s">
        <v>1447</v>
      </c>
      <c r="E212" s="15" t="s">
        <v>1557</v>
      </c>
    </row>
    <row r="213" spans="1:5" x14ac:dyDescent="0.25">
      <c r="A213" s="36" t="e">
        <f>VLOOKUP($C213,'Variable Information'!$A$2:$E$480,5,FALSE)</f>
        <v>#N/A</v>
      </c>
      <c r="B213" s="36" t="e">
        <f>VLOOKUP($C213,'Variable Information'!$A$1:$C$480,3,FALSE)</f>
        <v>#N/A</v>
      </c>
      <c r="C213" s="35"/>
      <c r="D213" s="30" t="s">
        <v>1449</v>
      </c>
      <c r="E213" s="15" t="s">
        <v>1558</v>
      </c>
    </row>
    <row r="214" spans="1:5" x14ac:dyDescent="0.25">
      <c r="A214" s="36" t="e">
        <f>VLOOKUP($C214,'Variable Information'!$A$2:$E$480,5,FALSE)</f>
        <v>#N/A</v>
      </c>
      <c r="B214" s="36" t="e">
        <f>VLOOKUP($C214,'Variable Information'!$A$1:$C$480,3,FALSE)</f>
        <v>#N/A</v>
      </c>
      <c r="C214" s="35"/>
      <c r="D214" s="30" t="s">
        <v>1451</v>
      </c>
      <c r="E214" s="15" t="s">
        <v>1559</v>
      </c>
    </row>
    <row r="215" spans="1:5" x14ac:dyDescent="0.25">
      <c r="A215" s="36" t="str">
        <f>VLOOKUP($C215,'Variable Information'!$A$2:$E$480,5,FALSE)</f>
        <v>AJP_J3</v>
      </c>
      <c r="B215" s="36" t="str">
        <f>VLOOKUP($C215,'Variable Information'!$A$1:$C$480,3,FALSE)</f>
        <v>Q23_2_10_3. Issues experienced - Issues with obtaining government/social housing (excluding issues experienced as a tenant)</v>
      </c>
      <c r="C215" s="35" t="s">
        <v>178</v>
      </c>
      <c r="D215" s="30" t="s">
        <v>1447</v>
      </c>
      <c r="E215" s="15" t="s">
        <v>1557</v>
      </c>
    </row>
    <row r="216" spans="1:5" x14ac:dyDescent="0.25">
      <c r="A216" s="36" t="e">
        <f>VLOOKUP($C216,'Variable Information'!$A$2:$E$480,5,FALSE)</f>
        <v>#N/A</v>
      </c>
      <c r="B216" s="36" t="e">
        <f>VLOOKUP($C216,'Variable Information'!$A$1:$C$480,3,FALSE)</f>
        <v>#N/A</v>
      </c>
      <c r="C216" s="35"/>
      <c r="D216" s="30" t="s">
        <v>1449</v>
      </c>
      <c r="E216" s="15" t="s">
        <v>1558</v>
      </c>
    </row>
    <row r="217" spans="1:5" x14ac:dyDescent="0.25">
      <c r="A217" s="36" t="e">
        <f>VLOOKUP($C217,'Variable Information'!$A$2:$E$480,5,FALSE)</f>
        <v>#N/A</v>
      </c>
      <c r="B217" s="36" t="e">
        <f>VLOOKUP($C217,'Variable Information'!$A$1:$C$480,3,FALSE)</f>
        <v>#N/A</v>
      </c>
      <c r="C217" s="35"/>
      <c r="D217" s="30" t="s">
        <v>1451</v>
      </c>
      <c r="E217" s="15" t="s">
        <v>1559</v>
      </c>
    </row>
    <row r="218" spans="1:5" x14ac:dyDescent="0.25">
      <c r="A218" s="36" t="str">
        <f>VLOOKUP($C218,'Variable Information'!$A$2:$E$480,5,FALSE)</f>
        <v>AJP_J4</v>
      </c>
      <c r="B218" s="36" t="str">
        <f>VLOOKUP($C218,'Variable Information'!$A$1:$C$480,3,FALSE)</f>
        <v>Q23_2_10_4. Issues experienced - Issues with obtaining education</v>
      </c>
      <c r="C218" s="35" t="s">
        <v>181</v>
      </c>
      <c r="D218" s="30" t="s">
        <v>1447</v>
      </c>
      <c r="E218" s="15" t="s">
        <v>1557</v>
      </c>
    </row>
    <row r="219" spans="1:5" x14ac:dyDescent="0.25">
      <c r="A219" s="36" t="e">
        <f>VLOOKUP($C219,'Variable Information'!$A$2:$E$480,5,FALSE)</f>
        <v>#N/A</v>
      </c>
      <c r="B219" s="36" t="e">
        <f>VLOOKUP($C219,'Variable Information'!$A$1:$C$480,3,FALSE)</f>
        <v>#N/A</v>
      </c>
      <c r="C219" s="35"/>
      <c r="D219" s="30" t="s">
        <v>1449</v>
      </c>
      <c r="E219" s="15" t="s">
        <v>1558</v>
      </c>
    </row>
    <row r="220" spans="1:5" x14ac:dyDescent="0.25">
      <c r="A220" s="36" t="e">
        <f>VLOOKUP($C220,'Variable Information'!$A$2:$E$480,5,FALSE)</f>
        <v>#N/A</v>
      </c>
      <c r="B220" s="36" t="e">
        <f>VLOOKUP($C220,'Variable Information'!$A$1:$C$480,3,FALSE)</f>
        <v>#N/A</v>
      </c>
      <c r="C220" s="35"/>
      <c r="D220" s="30" t="s">
        <v>1451</v>
      </c>
      <c r="E220" s="15" t="s">
        <v>1559</v>
      </c>
    </row>
    <row r="221" spans="1:5" x14ac:dyDescent="0.25">
      <c r="A221" s="36" t="str">
        <f>VLOOKUP($C221,'Variable Information'!$A$2:$E$480,5,FALSE)</f>
        <v>AJP_K1</v>
      </c>
      <c r="B221" s="36" t="str">
        <f>VLOOKUP($C221,'Variable Information'!$A$1:$C$480,3,FALSE)</f>
        <v>Q23_2_11_1. Issues experienced - Product/purchases not delivered or significantly delayed</v>
      </c>
      <c r="C221" s="35" t="s">
        <v>184</v>
      </c>
      <c r="D221" s="30" t="s">
        <v>1447</v>
      </c>
      <c r="E221" s="15" t="s">
        <v>1557</v>
      </c>
    </row>
    <row r="222" spans="1:5" x14ac:dyDescent="0.25">
      <c r="A222" s="36" t="e">
        <f>VLOOKUP($C222,'Variable Information'!$A$2:$E$480,5,FALSE)</f>
        <v>#N/A</v>
      </c>
      <c r="B222" s="36" t="e">
        <f>VLOOKUP($C222,'Variable Information'!$A$1:$C$480,3,FALSE)</f>
        <v>#N/A</v>
      </c>
      <c r="C222" s="35"/>
      <c r="D222" s="30" t="s">
        <v>1449</v>
      </c>
      <c r="E222" s="15" t="s">
        <v>1558</v>
      </c>
    </row>
    <row r="223" spans="1:5" x14ac:dyDescent="0.25">
      <c r="A223" s="36" t="e">
        <f>VLOOKUP($C223,'Variable Information'!$A$2:$E$480,5,FALSE)</f>
        <v>#N/A</v>
      </c>
      <c r="B223" s="36" t="e">
        <f>VLOOKUP($C223,'Variable Information'!$A$1:$C$480,3,FALSE)</f>
        <v>#N/A</v>
      </c>
      <c r="C223" s="35"/>
      <c r="D223" s="30" t="s">
        <v>1451</v>
      </c>
      <c r="E223" s="15" t="s">
        <v>1559</v>
      </c>
    </row>
    <row r="224" spans="1:5" x14ac:dyDescent="0.25">
      <c r="A224" s="36" t="str">
        <f>VLOOKUP($C224,'Variable Information'!$A$2:$E$480,5,FALSE)</f>
        <v>AJP_K2</v>
      </c>
      <c r="B224" s="36" t="str">
        <f>VLOOKUP($C224,'Variable Information'!$A$1:$C$480,3,FALSE)</f>
        <v>Q23_2_11_2. Issues experienced - Difficulty getting refunds repairs or replacements for products that were faulty damaged or not as described</v>
      </c>
      <c r="C224" s="35" t="s">
        <v>187</v>
      </c>
      <c r="D224" s="30" t="s">
        <v>1447</v>
      </c>
      <c r="E224" s="15" t="s">
        <v>1557</v>
      </c>
    </row>
    <row r="225" spans="1:5" x14ac:dyDescent="0.25">
      <c r="A225" s="36" t="e">
        <f>VLOOKUP($C225,'Variable Information'!$A$2:$E$480,5,FALSE)</f>
        <v>#N/A</v>
      </c>
      <c r="B225" s="36" t="e">
        <f>VLOOKUP($C225,'Variable Information'!$A$1:$C$480,3,FALSE)</f>
        <v>#N/A</v>
      </c>
      <c r="C225" s="35"/>
      <c r="D225" s="30" t="s">
        <v>1449</v>
      </c>
      <c r="E225" s="15" t="s">
        <v>1558</v>
      </c>
    </row>
    <row r="226" spans="1:5" x14ac:dyDescent="0.25">
      <c r="A226" s="36" t="e">
        <f>VLOOKUP($C226,'Variable Information'!$A$2:$E$480,5,FALSE)</f>
        <v>#N/A</v>
      </c>
      <c r="B226" s="36" t="e">
        <f>VLOOKUP($C226,'Variable Information'!$A$1:$C$480,3,FALSE)</f>
        <v>#N/A</v>
      </c>
      <c r="C226" s="35"/>
      <c r="D226" s="30" t="s">
        <v>1451</v>
      </c>
      <c r="E226" s="15" t="s">
        <v>1559</v>
      </c>
    </row>
    <row r="227" spans="1:5" x14ac:dyDescent="0.25">
      <c r="A227" s="36" t="str">
        <f>VLOOKUP($C227,'Variable Information'!$A$2:$E$480,5,FALSE)</f>
        <v>AJP_L1</v>
      </c>
      <c r="B227" s="36" t="str">
        <f>VLOOKUP($C227,'Variable Information'!$A$1:$C$480,3,FALSE)</f>
        <v>Q23_2_12_1. Issues experienced - Issues with over-charging or hidden or unexpected fees</v>
      </c>
      <c r="C227" s="35" t="s">
        <v>190</v>
      </c>
      <c r="D227" s="30" t="s">
        <v>1447</v>
      </c>
      <c r="E227" s="15" t="s">
        <v>1557</v>
      </c>
    </row>
    <row r="228" spans="1:5" x14ac:dyDescent="0.25">
      <c r="A228" s="36" t="e">
        <f>VLOOKUP($C228,'Variable Information'!$A$2:$E$480,5,FALSE)</f>
        <v>#N/A</v>
      </c>
      <c r="B228" s="36" t="e">
        <f>VLOOKUP($C228,'Variable Information'!$A$1:$C$480,3,FALSE)</f>
        <v>#N/A</v>
      </c>
      <c r="C228" s="35"/>
      <c r="D228" s="30" t="s">
        <v>1449</v>
      </c>
      <c r="E228" s="15" t="s">
        <v>1558</v>
      </c>
    </row>
    <row r="229" spans="1:5" x14ac:dyDescent="0.25">
      <c r="A229" s="36" t="e">
        <f>VLOOKUP($C229,'Variable Information'!$A$2:$E$480,5,FALSE)</f>
        <v>#N/A</v>
      </c>
      <c r="B229" s="36" t="e">
        <f>VLOOKUP($C229,'Variable Information'!$A$1:$C$480,3,FALSE)</f>
        <v>#N/A</v>
      </c>
      <c r="C229" s="35"/>
      <c r="D229" s="30" t="s">
        <v>1451</v>
      </c>
      <c r="E229" s="15" t="s">
        <v>1559</v>
      </c>
    </row>
    <row r="230" spans="1:5" x14ac:dyDescent="0.25">
      <c r="A230" s="36" t="str">
        <f>VLOOKUP($C230,'Variable Information'!$A$2:$E$480,5,FALSE)</f>
        <v>AJP_L2</v>
      </c>
      <c r="B230" s="36" t="str">
        <f>VLOOKUP($C230,'Variable Information'!$A$1:$C$480,3,FALSE)</f>
        <v>Q23_2_12_2. Issues experienced - Issues with quality of services or other service-related disputes</v>
      </c>
      <c r="C230" s="35" t="s">
        <v>193</v>
      </c>
      <c r="D230" s="30" t="s">
        <v>1447</v>
      </c>
      <c r="E230" s="15" t="s">
        <v>1557</v>
      </c>
    </row>
    <row r="231" spans="1:5" x14ac:dyDescent="0.25">
      <c r="A231" s="36" t="e">
        <f>VLOOKUP($C231,'Variable Information'!$A$2:$E$480,5,FALSE)</f>
        <v>#N/A</v>
      </c>
      <c r="B231" s="36" t="e">
        <f>VLOOKUP($C231,'Variable Information'!$A$1:$C$480,3,FALSE)</f>
        <v>#N/A</v>
      </c>
      <c r="C231" s="35"/>
      <c r="D231" s="30" t="s">
        <v>1449</v>
      </c>
      <c r="E231" s="15" t="s">
        <v>1558</v>
      </c>
    </row>
    <row r="232" spans="1:5" x14ac:dyDescent="0.25">
      <c r="A232" s="36" t="e">
        <f>VLOOKUP($C232,'Variable Information'!$A$2:$E$480,5,FALSE)</f>
        <v>#N/A</v>
      </c>
      <c r="B232" s="36" t="e">
        <f>VLOOKUP($C232,'Variable Information'!$A$1:$C$480,3,FALSE)</f>
        <v>#N/A</v>
      </c>
      <c r="C232" s="35"/>
      <c r="D232" s="30" t="s">
        <v>1451</v>
      </c>
      <c r="E232" s="15" t="s">
        <v>1559</v>
      </c>
    </row>
    <row r="233" spans="1:5" x14ac:dyDescent="0.25">
      <c r="A233" s="36" t="str">
        <f>VLOOKUP($C233,'Variable Information'!$A$2:$E$480,5,FALSE)</f>
        <v>AJP_M1</v>
      </c>
      <c r="B233" s="36" t="str">
        <f>VLOOKUP($C233,'Variable Information'!$A$1:$C$480,3,FALSE)</f>
        <v>Q23_2_13_1. Issues experienced - Unable to pay bills/loans/debts including buy-now-pay-later (excluding mortgage and rental payments)</v>
      </c>
      <c r="C233" s="35" t="s">
        <v>196</v>
      </c>
      <c r="D233" s="30" t="s">
        <v>1447</v>
      </c>
      <c r="E233" s="15" t="s">
        <v>1557</v>
      </c>
    </row>
    <row r="234" spans="1:5" x14ac:dyDescent="0.25">
      <c r="A234" s="36" t="e">
        <f>VLOOKUP($C234,'Variable Information'!$A$2:$E$480,5,FALSE)</f>
        <v>#N/A</v>
      </c>
      <c r="B234" s="36" t="e">
        <f>VLOOKUP($C234,'Variable Information'!$A$1:$C$480,3,FALSE)</f>
        <v>#N/A</v>
      </c>
      <c r="C234" s="35"/>
      <c r="D234" s="30" t="s">
        <v>1449</v>
      </c>
      <c r="E234" s="15" t="s">
        <v>1558</v>
      </c>
    </row>
    <row r="235" spans="1:5" x14ac:dyDescent="0.25">
      <c r="A235" s="36" t="e">
        <f>VLOOKUP($C235,'Variable Information'!$A$2:$E$480,5,FALSE)</f>
        <v>#N/A</v>
      </c>
      <c r="B235" s="36" t="e">
        <f>VLOOKUP($C235,'Variable Information'!$A$1:$C$480,3,FALSE)</f>
        <v>#N/A</v>
      </c>
      <c r="C235" s="35"/>
      <c r="D235" s="30" t="s">
        <v>1451</v>
      </c>
      <c r="E235" s="15" t="s">
        <v>1559</v>
      </c>
    </row>
    <row r="236" spans="1:5" x14ac:dyDescent="0.25">
      <c r="A236" s="36" t="str">
        <f>VLOOKUP($C236,'Variable Information'!$A$2:$E$480,5,FALSE)</f>
        <v>AJP_M2</v>
      </c>
      <c r="B236" s="36" t="str">
        <f>VLOOKUP($C236,'Variable Information'!$A$1:$C$480,3,FALSE)</f>
        <v>Q23_2_13_2. Issues experienced - Disputes about insurance coverage/claim</v>
      </c>
      <c r="C236" s="35" t="s">
        <v>199</v>
      </c>
      <c r="D236" s="30" t="s">
        <v>1447</v>
      </c>
      <c r="E236" s="15" t="s">
        <v>1557</v>
      </c>
    </row>
    <row r="237" spans="1:5" x14ac:dyDescent="0.25">
      <c r="A237" s="36" t="e">
        <f>VLOOKUP($C237,'Variable Information'!$A$2:$E$480,5,FALSE)</f>
        <v>#N/A</v>
      </c>
      <c r="B237" s="36" t="e">
        <f>VLOOKUP($C237,'Variable Information'!$A$1:$C$480,3,FALSE)</f>
        <v>#N/A</v>
      </c>
      <c r="C237" s="35"/>
      <c r="D237" s="30" t="s">
        <v>1449</v>
      </c>
      <c r="E237" s="15" t="s">
        <v>1558</v>
      </c>
    </row>
    <row r="238" spans="1:5" x14ac:dyDescent="0.25">
      <c r="A238" s="36" t="e">
        <f>VLOOKUP($C238,'Variable Information'!$A$2:$E$480,5,FALSE)</f>
        <v>#N/A</v>
      </c>
      <c r="B238" s="36" t="e">
        <f>VLOOKUP($C238,'Variable Information'!$A$1:$C$480,3,FALSE)</f>
        <v>#N/A</v>
      </c>
      <c r="C238" s="35"/>
      <c r="D238" s="30" t="s">
        <v>1451</v>
      </c>
      <c r="E238" s="15" t="s">
        <v>1559</v>
      </c>
    </row>
    <row r="239" spans="1:5" x14ac:dyDescent="0.25">
      <c r="A239" s="36" t="str">
        <f>VLOOKUP($C239,'Variable Information'!$A$2:$E$480,5,FALSE)</f>
        <v>AJP_M3</v>
      </c>
      <c r="B239" s="36" t="str">
        <f>VLOOKUP($C239,'Variable Information'!$A$1:$C$480,3,FALSE)</f>
        <v>Q23_2_13_3. Issues experienced - Disputes with the bank or other financial institutions including refusal of credit/loan/mortgage</v>
      </c>
      <c r="C239" s="35" t="s">
        <v>202</v>
      </c>
      <c r="D239" s="30" t="s">
        <v>1447</v>
      </c>
      <c r="E239" s="15" t="s">
        <v>1557</v>
      </c>
    </row>
    <row r="240" spans="1:5" x14ac:dyDescent="0.25">
      <c r="A240" s="36" t="e">
        <f>VLOOKUP($C240,'Variable Information'!$A$2:$E$480,5,FALSE)</f>
        <v>#N/A</v>
      </c>
      <c r="B240" s="36" t="e">
        <f>VLOOKUP($C240,'Variable Information'!$A$1:$C$480,3,FALSE)</f>
        <v>#N/A</v>
      </c>
      <c r="C240" s="35"/>
      <c r="D240" s="30" t="s">
        <v>1449</v>
      </c>
      <c r="E240" s="15" t="s">
        <v>1558</v>
      </c>
    </row>
    <row r="241" spans="1:5" x14ac:dyDescent="0.25">
      <c r="A241" s="36" t="e">
        <f>VLOOKUP($C241,'Variable Information'!$A$2:$E$480,5,FALSE)</f>
        <v>#N/A</v>
      </c>
      <c r="B241" s="36" t="e">
        <f>VLOOKUP($C241,'Variable Information'!$A$1:$C$480,3,FALSE)</f>
        <v>#N/A</v>
      </c>
      <c r="C241" s="35"/>
      <c r="D241" s="30" t="s">
        <v>1451</v>
      </c>
      <c r="E241" s="15" t="s">
        <v>1559</v>
      </c>
    </row>
    <row r="242" spans="1:5" x14ac:dyDescent="0.25">
      <c r="A242" s="36" t="str">
        <f>VLOOKUP($C242,'Variable Information'!$A$2:$E$480,5,FALSE)</f>
        <v>AJP_M4</v>
      </c>
      <c r="B242" s="36" t="str">
        <f>VLOOKUP($C242,'Variable Information'!$A$1:$C$480,3,FALSE)</f>
        <v>Q23_2_13_4. Issues experienced - Disputes about tax assessments/payments/refunds</v>
      </c>
      <c r="C242" s="35" t="s">
        <v>205</v>
      </c>
      <c r="D242" s="30" t="s">
        <v>1447</v>
      </c>
      <c r="E242" s="15" t="s">
        <v>1557</v>
      </c>
    </row>
    <row r="243" spans="1:5" x14ac:dyDescent="0.25">
      <c r="A243" s="36" t="e">
        <f>VLOOKUP($C243,'Variable Information'!$A$2:$E$480,5,FALSE)</f>
        <v>#N/A</v>
      </c>
      <c r="B243" s="36" t="e">
        <f>VLOOKUP($C243,'Variable Information'!$A$1:$C$480,3,FALSE)</f>
        <v>#N/A</v>
      </c>
      <c r="C243" s="35"/>
      <c r="D243" s="30" t="s">
        <v>1449</v>
      </c>
      <c r="E243" s="15" t="s">
        <v>1558</v>
      </c>
    </row>
    <row r="244" spans="1:5" x14ac:dyDescent="0.25">
      <c r="A244" s="36" t="e">
        <f>VLOOKUP($C244,'Variable Information'!$A$2:$E$480,5,FALSE)</f>
        <v>#N/A</v>
      </c>
      <c r="B244" s="36" t="e">
        <f>VLOOKUP($C244,'Variable Information'!$A$1:$C$480,3,FALSE)</f>
        <v>#N/A</v>
      </c>
      <c r="C244" s="35"/>
      <c r="D244" s="30" t="s">
        <v>1451</v>
      </c>
      <c r="E244" s="15" t="s">
        <v>1559</v>
      </c>
    </row>
    <row r="245" spans="1:5" x14ac:dyDescent="0.25">
      <c r="A245" s="36" t="str">
        <f>VLOOKUP($C245,'Variable Information'!$A$2:$E$480,5,FALSE)</f>
        <v>AJP_M5</v>
      </c>
      <c r="B245" s="36" t="str">
        <f>VLOOKUP($C245,'Variable Information'!$A$1:$C$480,3,FALSE)</f>
        <v>Q23_2_13_5. Issues experienced - Difficulties getting someone to pay money they owe you (other than as a landlord)</v>
      </c>
      <c r="C245" s="35" t="s">
        <v>208</v>
      </c>
      <c r="D245" s="30" t="s">
        <v>1447</v>
      </c>
      <c r="E245" s="15" t="s">
        <v>1557</v>
      </c>
    </row>
    <row r="246" spans="1:5" x14ac:dyDescent="0.25">
      <c r="A246" s="36" t="e">
        <f>VLOOKUP($C246,'Variable Information'!$A$2:$E$480,5,FALSE)</f>
        <v>#N/A</v>
      </c>
      <c r="B246" s="36" t="e">
        <f>VLOOKUP($C246,'Variable Information'!$A$1:$C$480,3,FALSE)</f>
        <v>#N/A</v>
      </c>
      <c r="C246" s="35"/>
      <c r="D246" s="30" t="s">
        <v>1449</v>
      </c>
      <c r="E246" s="15" t="s">
        <v>1558</v>
      </c>
    </row>
    <row r="247" spans="1:5" x14ac:dyDescent="0.25">
      <c r="A247" s="36" t="e">
        <f>VLOOKUP($C247,'Variable Information'!$A$2:$E$480,5,FALSE)</f>
        <v>#N/A</v>
      </c>
      <c r="B247" s="36" t="e">
        <f>VLOOKUP($C247,'Variable Information'!$A$1:$C$480,3,FALSE)</f>
        <v>#N/A</v>
      </c>
      <c r="C247" s="35"/>
      <c r="D247" s="30" t="s">
        <v>1451</v>
      </c>
      <c r="E247" s="15" t="s">
        <v>1559</v>
      </c>
    </row>
    <row r="248" spans="1:5" x14ac:dyDescent="0.25">
      <c r="A248" s="36" t="str">
        <f>VLOOKUP($C248,'Variable Information'!$A$2:$E$480,5,FALSE)</f>
        <v>AJP_N1</v>
      </c>
      <c r="B248" s="36" t="str">
        <f>VLOOKUP($C248,'Variable Information'!$A$1:$C$480,3,FALSE)</f>
        <v>Q23_2_14_1. Issues experienced - Loss of a job or issues with pay/wages or other benefits</v>
      </c>
      <c r="C248" s="35" t="s">
        <v>211</v>
      </c>
      <c r="D248" s="30" t="s">
        <v>1447</v>
      </c>
      <c r="E248" s="15" t="s">
        <v>1557</v>
      </c>
    </row>
    <row r="249" spans="1:5" x14ac:dyDescent="0.25">
      <c r="A249" s="36" t="e">
        <f>VLOOKUP($C249,'Variable Information'!$A$2:$E$480,5,FALSE)</f>
        <v>#N/A</v>
      </c>
      <c r="B249" s="36" t="e">
        <f>VLOOKUP($C249,'Variable Information'!$A$1:$C$480,3,FALSE)</f>
        <v>#N/A</v>
      </c>
      <c r="C249" s="35"/>
      <c r="D249" s="30" t="s">
        <v>1449</v>
      </c>
      <c r="E249" s="15" t="s">
        <v>1558</v>
      </c>
    </row>
    <row r="250" spans="1:5" x14ac:dyDescent="0.25">
      <c r="A250" s="36" t="e">
        <f>VLOOKUP($C250,'Variable Information'!$A$2:$E$480,5,FALSE)</f>
        <v>#N/A</v>
      </c>
      <c r="B250" s="36" t="e">
        <f>VLOOKUP($C250,'Variable Information'!$A$1:$C$480,3,FALSE)</f>
        <v>#N/A</v>
      </c>
      <c r="C250" s="35"/>
      <c r="D250" s="30" t="s">
        <v>1451</v>
      </c>
      <c r="E250" s="15" t="s">
        <v>1559</v>
      </c>
    </row>
    <row r="251" spans="1:5" x14ac:dyDescent="0.25">
      <c r="A251" s="36" t="str">
        <f>VLOOKUP($C251,'Variable Information'!$A$2:$E$480,5,FALSE)</f>
        <v>AJP_N2</v>
      </c>
      <c r="B251" s="36" t="str">
        <f>VLOOKUP($C251,'Variable Information'!$A$1:$C$480,3,FALSE)</f>
        <v>Q23_2_14_2. Issues experienced - Exposure to health and safety risks</v>
      </c>
      <c r="C251" s="35" t="s">
        <v>214</v>
      </c>
      <c r="D251" s="30" t="s">
        <v>1447</v>
      </c>
      <c r="E251" s="15" t="s">
        <v>1557</v>
      </c>
    </row>
    <row r="252" spans="1:5" x14ac:dyDescent="0.25">
      <c r="A252" s="36" t="e">
        <f>VLOOKUP($C252,'Variable Information'!$A$2:$E$480,5,FALSE)</f>
        <v>#N/A</v>
      </c>
      <c r="B252" s="36" t="e">
        <f>VLOOKUP($C252,'Variable Information'!$A$1:$C$480,3,FALSE)</f>
        <v>#N/A</v>
      </c>
      <c r="C252" s="35"/>
      <c r="D252" s="30" t="s">
        <v>1449</v>
      </c>
      <c r="E252" s="15" t="s">
        <v>1558</v>
      </c>
    </row>
    <row r="253" spans="1:5" x14ac:dyDescent="0.25">
      <c r="A253" s="36" t="e">
        <f>VLOOKUP($C253,'Variable Information'!$A$2:$E$480,5,FALSE)</f>
        <v>#N/A</v>
      </c>
      <c r="B253" s="36" t="e">
        <f>VLOOKUP($C253,'Variable Information'!$A$1:$C$480,3,FALSE)</f>
        <v>#N/A</v>
      </c>
      <c r="C253" s="35"/>
      <c r="D253" s="30" t="s">
        <v>1451</v>
      </c>
      <c r="E253" s="15" t="s">
        <v>1559</v>
      </c>
    </row>
    <row r="254" spans="1:5" x14ac:dyDescent="0.25">
      <c r="A254" s="36" t="str">
        <f>VLOOKUP($C254,'Variable Information'!$A$2:$E$480,5,FALSE)</f>
        <v>AJP_N3</v>
      </c>
      <c r="B254" s="36" t="str">
        <f>VLOOKUP($C254,'Variable Information'!$A$1:$C$480,3,FALSE)</f>
        <v>Q23_2_14_3. Issues experienced - Conflicts with employer or other employees including discrimination and harassment</v>
      </c>
      <c r="C254" s="35" t="s">
        <v>217</v>
      </c>
      <c r="D254" s="30" t="s">
        <v>1447</v>
      </c>
      <c r="E254" s="15" t="s">
        <v>1557</v>
      </c>
    </row>
    <row r="255" spans="1:5" x14ac:dyDescent="0.25">
      <c r="A255" s="36" t="e">
        <f>VLOOKUP($C255,'Variable Information'!$A$2:$E$480,5,FALSE)</f>
        <v>#N/A</v>
      </c>
      <c r="B255" s="36" t="e">
        <f>VLOOKUP($C255,'Variable Information'!$A$1:$C$480,3,FALSE)</f>
        <v>#N/A</v>
      </c>
      <c r="C255" s="35"/>
      <c r="D255" s="30" t="s">
        <v>1449</v>
      </c>
      <c r="E255" s="15" t="s">
        <v>1558</v>
      </c>
    </row>
    <row r="256" spans="1:5" x14ac:dyDescent="0.25">
      <c r="A256" s="36" t="e">
        <f>VLOOKUP($C256,'Variable Information'!$A$2:$E$480,5,FALSE)</f>
        <v>#N/A</v>
      </c>
      <c r="B256" s="36" t="e">
        <f>VLOOKUP($C256,'Variable Information'!$A$1:$C$480,3,FALSE)</f>
        <v>#N/A</v>
      </c>
      <c r="C256" s="35"/>
      <c r="D256" s="30" t="s">
        <v>1451</v>
      </c>
      <c r="E256" s="15" t="s">
        <v>1559</v>
      </c>
    </row>
    <row r="257" spans="1:5" x14ac:dyDescent="0.25">
      <c r="A257" s="36" t="str">
        <f>VLOOKUP($C257,'Variable Information'!$A$2:$E$480,5,FALSE)</f>
        <v>AJP_N4</v>
      </c>
      <c r="B257" s="36" t="str">
        <f>VLOOKUP($C257,'Variable Information'!$A$1:$C$480,3,FALSE)</f>
        <v>Q23_2_14_4. Issues experienced - Other employment-related disputes</v>
      </c>
      <c r="C257" s="35" t="s">
        <v>220</v>
      </c>
      <c r="D257" s="30" t="s">
        <v>1447</v>
      </c>
      <c r="E257" s="15" t="s">
        <v>1557</v>
      </c>
    </row>
    <row r="258" spans="1:5" x14ac:dyDescent="0.25">
      <c r="A258" s="36" t="e">
        <f>VLOOKUP($C258,'Variable Information'!$A$2:$E$480,5,FALSE)</f>
        <v>#N/A</v>
      </c>
      <c r="B258" s="36" t="e">
        <f>VLOOKUP($C258,'Variable Information'!$A$1:$C$480,3,FALSE)</f>
        <v>#N/A</v>
      </c>
      <c r="C258" s="35"/>
      <c r="D258" s="30" t="s">
        <v>1449</v>
      </c>
      <c r="E258" s="15" t="s">
        <v>1558</v>
      </c>
    </row>
    <row r="259" spans="1:5" x14ac:dyDescent="0.25">
      <c r="A259" s="36" t="e">
        <f>VLOOKUP($C259,'Variable Information'!$A$2:$E$480,5,FALSE)</f>
        <v>#N/A</v>
      </c>
      <c r="B259" s="36" t="e">
        <f>VLOOKUP($C259,'Variable Information'!$A$1:$C$480,3,FALSE)</f>
        <v>#N/A</v>
      </c>
      <c r="C259" s="35"/>
      <c r="D259" s="30" t="s">
        <v>1451</v>
      </c>
      <c r="E259" s="15" t="s">
        <v>1559</v>
      </c>
    </row>
    <row r="260" spans="1:5" x14ac:dyDescent="0.25">
      <c r="A260" s="36" t="str">
        <f>VLOOKUP($C260,'Variable Information'!$A$2:$E$480,5,FALSE)</f>
        <v>AJP_A1_freq</v>
      </c>
      <c r="B260" s="36" t="str">
        <f>VLOOKUP($C260,'Variable Information'!$A$1:$C$480,3,FALSE)</f>
        <v>Q23_3_1_1. Frequency experienced - Including issues with buying or selling property and disputes over title or ownership boundary locations and rights of way and Land Registry matters</v>
      </c>
      <c r="C260" s="35" t="s">
        <v>223</v>
      </c>
      <c r="D260" s="30" t="s">
        <v>1447</v>
      </c>
      <c r="E260" s="15" t="s">
        <v>1560</v>
      </c>
    </row>
    <row r="261" spans="1:5" x14ac:dyDescent="0.25">
      <c r="A261" s="36" t="e">
        <f>VLOOKUP($C261,'Variable Information'!$A$2:$E$480,5,FALSE)</f>
        <v>#N/A</v>
      </c>
      <c r="B261" s="36" t="e">
        <f>VLOOKUP($C261,'Variable Information'!$A$1:$C$480,3,FALSE)</f>
        <v>#N/A</v>
      </c>
      <c r="C261" s="35"/>
      <c r="D261" s="30" t="s">
        <v>1449</v>
      </c>
      <c r="E261" s="15" t="s">
        <v>1561</v>
      </c>
    </row>
    <row r="262" spans="1:5" x14ac:dyDescent="0.25">
      <c r="A262" s="36" t="e">
        <f>VLOOKUP($C262,'Variable Information'!$A$2:$E$480,5,FALSE)</f>
        <v>#N/A</v>
      </c>
      <c r="B262" s="36" t="e">
        <f>VLOOKUP($C262,'Variable Information'!$A$1:$C$480,3,FALSE)</f>
        <v>#N/A</v>
      </c>
      <c r="C262" s="35"/>
      <c r="D262" s="30" t="s">
        <v>1451</v>
      </c>
      <c r="E262" s="15" t="s">
        <v>1562</v>
      </c>
    </row>
    <row r="263" spans="1:5" x14ac:dyDescent="0.25">
      <c r="A263" s="36" t="e">
        <f>VLOOKUP($C263,'Variable Information'!$A$2:$E$480,5,FALSE)</f>
        <v>#N/A</v>
      </c>
      <c r="B263" s="36" t="e">
        <f>VLOOKUP($C263,'Variable Information'!$A$1:$C$480,3,FALSE)</f>
        <v>#N/A</v>
      </c>
      <c r="C263" s="35"/>
      <c r="D263" s="30" t="s">
        <v>1456</v>
      </c>
      <c r="E263" s="15" t="s">
        <v>1563</v>
      </c>
    </row>
    <row r="264" spans="1:5" x14ac:dyDescent="0.25">
      <c r="A264" s="36" t="str">
        <f>VLOOKUP($C264,'Variable Information'!$A$2:$E$480,5,FALSE)</f>
        <v>AJP_B1_freq</v>
      </c>
      <c r="B264" s="36" t="str">
        <f>VLOOKUP($C264,'Variable Information'!$A$1:$C$480,3,FALSE)</f>
        <v>Q23_3_2_1. Frequency experienced - Disputes about maintenance including of boundaries trees gardens</v>
      </c>
      <c r="C264" s="35" t="s">
        <v>226</v>
      </c>
      <c r="D264" s="30" t="s">
        <v>1447</v>
      </c>
      <c r="E264" s="15" t="s">
        <v>1560</v>
      </c>
    </row>
    <row r="265" spans="1:5" x14ac:dyDescent="0.25">
      <c r="A265" s="36" t="e">
        <f>VLOOKUP($C265,'Variable Information'!$A$2:$E$480,5,FALSE)</f>
        <v>#N/A</v>
      </c>
      <c r="B265" s="36" t="e">
        <f>VLOOKUP($C265,'Variable Information'!$A$1:$C$480,3,FALSE)</f>
        <v>#N/A</v>
      </c>
      <c r="C265" s="35"/>
      <c r="D265" s="30" t="s">
        <v>1449</v>
      </c>
      <c r="E265" s="15" t="s">
        <v>1561</v>
      </c>
    </row>
    <row r="266" spans="1:5" x14ac:dyDescent="0.25">
      <c r="A266" s="36" t="e">
        <f>VLOOKUP($C266,'Variable Information'!$A$2:$E$480,5,FALSE)</f>
        <v>#N/A</v>
      </c>
      <c r="B266" s="36" t="e">
        <f>VLOOKUP($C266,'Variable Information'!$A$1:$C$480,3,FALSE)</f>
        <v>#N/A</v>
      </c>
      <c r="C266" s="35"/>
      <c r="D266" s="30" t="s">
        <v>1451</v>
      </c>
      <c r="E266" s="15" t="s">
        <v>1562</v>
      </c>
    </row>
    <row r="267" spans="1:5" x14ac:dyDescent="0.25">
      <c r="A267" s="36" t="e">
        <f>VLOOKUP($C267,'Variable Information'!$A$2:$E$480,5,FALSE)</f>
        <v>#N/A</v>
      </c>
      <c r="B267" s="36" t="e">
        <f>VLOOKUP($C267,'Variable Information'!$A$1:$C$480,3,FALSE)</f>
        <v>#N/A</v>
      </c>
      <c r="C267" s="35"/>
      <c r="D267" s="30" t="s">
        <v>1456</v>
      </c>
      <c r="E267" s="15" t="s">
        <v>1563</v>
      </c>
    </row>
    <row r="268" spans="1:5" x14ac:dyDescent="0.25">
      <c r="A268" s="36" t="str">
        <f>VLOOKUP($C268,'Variable Information'!$A$2:$E$480,5,FALSE)</f>
        <v>AJP_B2_freq</v>
      </c>
      <c r="B268" s="36" t="str">
        <f>VLOOKUP($C268,'Variable Information'!$A$1:$C$480,3,FALSE)</f>
        <v>Q23_3_2_2. Frequency experienced - Problems or disputes to do with noise animals or unpleasant behaviour</v>
      </c>
      <c r="C268" s="35" t="s">
        <v>229</v>
      </c>
      <c r="D268" s="30" t="s">
        <v>1447</v>
      </c>
      <c r="E268" s="15" t="s">
        <v>1560</v>
      </c>
    </row>
    <row r="269" spans="1:5" x14ac:dyDescent="0.25">
      <c r="A269" s="36" t="e">
        <f>VLOOKUP($C269,'Variable Information'!$A$2:$E$480,5,FALSE)</f>
        <v>#N/A</v>
      </c>
      <c r="B269" s="36" t="e">
        <f>VLOOKUP($C269,'Variable Information'!$A$1:$C$480,3,FALSE)</f>
        <v>#N/A</v>
      </c>
      <c r="C269" s="35"/>
      <c r="D269" s="30" t="s">
        <v>1449</v>
      </c>
      <c r="E269" s="15" t="s">
        <v>1561</v>
      </c>
    </row>
    <row r="270" spans="1:5" x14ac:dyDescent="0.25">
      <c r="A270" s="36" t="e">
        <f>VLOOKUP($C270,'Variable Information'!$A$2:$E$480,5,FALSE)</f>
        <v>#N/A</v>
      </c>
      <c r="B270" s="36" t="e">
        <f>VLOOKUP($C270,'Variable Information'!$A$1:$C$480,3,FALSE)</f>
        <v>#N/A</v>
      </c>
      <c r="C270" s="35"/>
      <c r="D270" s="30" t="s">
        <v>1451</v>
      </c>
      <c r="E270" s="15" t="s">
        <v>1562</v>
      </c>
    </row>
    <row r="271" spans="1:5" x14ac:dyDescent="0.25">
      <c r="A271" s="36" t="e">
        <f>VLOOKUP($C271,'Variable Information'!$A$2:$E$480,5,FALSE)</f>
        <v>#N/A</v>
      </c>
      <c r="B271" s="36" t="e">
        <f>VLOOKUP($C271,'Variable Information'!$A$1:$C$480,3,FALSE)</f>
        <v>#N/A</v>
      </c>
      <c r="C271" s="35"/>
      <c r="D271" s="30" t="s">
        <v>1456</v>
      </c>
      <c r="E271" s="15" t="s">
        <v>1563</v>
      </c>
    </row>
    <row r="272" spans="1:5" x14ac:dyDescent="0.25">
      <c r="A272" s="36" t="str">
        <f>VLOOKUP($C272,'Variable Information'!$A$2:$E$480,5,FALSE)</f>
        <v>AJP_B3_freq</v>
      </c>
      <c r="B272" s="36" t="str">
        <f>VLOOKUP($C272,'Variable Information'!$A$1:$C$480,3,FALSE)</f>
        <v>Q23_3_2_3. Frequency experienced - Other disputes with neighbours such as issues with parking</v>
      </c>
      <c r="C272" s="35" t="s">
        <v>232</v>
      </c>
      <c r="D272" s="30" t="s">
        <v>1447</v>
      </c>
      <c r="E272" s="15" t="s">
        <v>1560</v>
      </c>
    </row>
    <row r="273" spans="1:5" x14ac:dyDescent="0.25">
      <c r="A273" s="36" t="e">
        <f>VLOOKUP($C273,'Variable Information'!$A$2:$E$480,5,FALSE)</f>
        <v>#N/A</v>
      </c>
      <c r="B273" s="36" t="e">
        <f>VLOOKUP($C273,'Variable Information'!$A$1:$C$480,3,FALSE)</f>
        <v>#N/A</v>
      </c>
      <c r="C273" s="35"/>
      <c r="D273" s="30" t="s">
        <v>1449</v>
      </c>
      <c r="E273" s="15" t="s">
        <v>1561</v>
      </c>
    </row>
    <row r="274" spans="1:5" x14ac:dyDescent="0.25">
      <c r="A274" s="36" t="e">
        <f>VLOOKUP($C274,'Variable Information'!$A$2:$E$480,5,FALSE)</f>
        <v>#N/A</v>
      </c>
      <c r="B274" s="36" t="e">
        <f>VLOOKUP($C274,'Variable Information'!$A$1:$C$480,3,FALSE)</f>
        <v>#N/A</v>
      </c>
      <c r="C274" s="35"/>
      <c r="D274" s="30" t="s">
        <v>1451</v>
      </c>
      <c r="E274" s="15" t="s">
        <v>1562</v>
      </c>
    </row>
    <row r="275" spans="1:5" x14ac:dyDescent="0.25">
      <c r="A275" s="36" t="e">
        <f>VLOOKUP($C275,'Variable Information'!$A$2:$E$480,5,FALSE)</f>
        <v>#N/A</v>
      </c>
      <c r="B275" s="36" t="e">
        <f>VLOOKUP($C275,'Variable Information'!$A$1:$C$480,3,FALSE)</f>
        <v>#N/A</v>
      </c>
      <c r="C275" s="35"/>
      <c r="D275" s="30" t="s">
        <v>1456</v>
      </c>
      <c r="E275" s="15" t="s">
        <v>1563</v>
      </c>
    </row>
    <row r="276" spans="1:5" x14ac:dyDescent="0.25">
      <c r="A276" s="36" t="str">
        <f>VLOOKUP($C276,'Variable Information'!$A$2:$E$480,5,FALSE)</f>
        <v>AJP_C1_freq</v>
      </c>
      <c r="B276" s="36" t="str">
        <f>VLOOKUP($C276,'Variable Information'!$A$1:$C$480,3,FALSE)</f>
        <v>Q23_3_3_1. Frequency experienced - Problems or disputes with your landlord over your rent or return of deposit</v>
      </c>
      <c r="C276" s="35" t="s">
        <v>235</v>
      </c>
      <c r="D276" s="30" t="s">
        <v>1447</v>
      </c>
      <c r="E276" s="15" t="s">
        <v>1560</v>
      </c>
    </row>
    <row r="277" spans="1:5" x14ac:dyDescent="0.25">
      <c r="A277" s="36" t="e">
        <f>VLOOKUP($C277,'Variable Information'!$A$2:$E$480,5,FALSE)</f>
        <v>#N/A</v>
      </c>
      <c r="B277" s="36" t="e">
        <f>VLOOKUP($C277,'Variable Information'!$A$1:$C$480,3,FALSE)</f>
        <v>#N/A</v>
      </c>
      <c r="C277" s="35"/>
      <c r="D277" s="30" t="s">
        <v>1449</v>
      </c>
      <c r="E277" s="15" t="s">
        <v>1561</v>
      </c>
    </row>
    <row r="278" spans="1:5" x14ac:dyDescent="0.25">
      <c r="A278" s="36" t="e">
        <f>VLOOKUP($C278,'Variable Information'!$A$2:$E$480,5,FALSE)</f>
        <v>#N/A</v>
      </c>
      <c r="B278" s="36" t="e">
        <f>VLOOKUP($C278,'Variable Information'!$A$1:$C$480,3,FALSE)</f>
        <v>#N/A</v>
      </c>
      <c r="C278" s="35"/>
      <c r="D278" s="30" t="s">
        <v>1451</v>
      </c>
      <c r="E278" s="15" t="s">
        <v>1562</v>
      </c>
    </row>
    <row r="279" spans="1:5" x14ac:dyDescent="0.25">
      <c r="A279" s="36" t="e">
        <f>VLOOKUP($C279,'Variable Information'!$A$2:$E$480,5,FALSE)</f>
        <v>#N/A</v>
      </c>
      <c r="B279" s="36" t="e">
        <f>VLOOKUP($C279,'Variable Information'!$A$1:$C$480,3,FALSE)</f>
        <v>#N/A</v>
      </c>
      <c r="C279" s="35"/>
      <c r="D279" s="30" t="s">
        <v>1456</v>
      </c>
      <c r="E279" s="15" t="s">
        <v>1563</v>
      </c>
    </row>
    <row r="280" spans="1:5" x14ac:dyDescent="0.25">
      <c r="A280" s="36" t="str">
        <f>VLOOKUP($C280,'Variable Information'!$A$2:$E$480,5,FALSE)</f>
        <v>AJP_C2_freq</v>
      </c>
      <c r="B280" s="36" t="str">
        <f>VLOOKUP($C280,'Variable Information'!$A$1:$C$480,3,FALSE)</f>
        <v>Q23_3_3_2. Frequency experienced - Problem with your landlord about the condition of your accommodation including damage/repairs</v>
      </c>
      <c r="C280" s="35" t="s">
        <v>238</v>
      </c>
      <c r="D280" s="30" t="s">
        <v>1447</v>
      </c>
      <c r="E280" s="15" t="s">
        <v>1560</v>
      </c>
    </row>
    <row r="281" spans="1:5" x14ac:dyDescent="0.25">
      <c r="A281" s="36" t="e">
        <f>VLOOKUP($C281,'Variable Information'!$A$2:$E$480,5,FALSE)</f>
        <v>#N/A</v>
      </c>
      <c r="B281" s="36" t="e">
        <f>VLOOKUP($C281,'Variable Information'!$A$1:$C$480,3,FALSE)</f>
        <v>#N/A</v>
      </c>
      <c r="C281" s="35"/>
      <c r="D281" s="30" t="s">
        <v>1449</v>
      </c>
      <c r="E281" s="15" t="s">
        <v>1561</v>
      </c>
    </row>
    <row r="282" spans="1:5" x14ac:dyDescent="0.25">
      <c r="A282" s="36" t="e">
        <f>VLOOKUP($C282,'Variable Information'!$A$2:$E$480,5,FALSE)</f>
        <v>#N/A</v>
      </c>
      <c r="B282" s="36" t="e">
        <f>VLOOKUP($C282,'Variable Information'!$A$1:$C$480,3,FALSE)</f>
        <v>#N/A</v>
      </c>
      <c r="C282" s="35"/>
      <c r="D282" s="30" t="s">
        <v>1451</v>
      </c>
      <c r="E282" s="15" t="s">
        <v>1562</v>
      </c>
    </row>
    <row r="283" spans="1:5" x14ac:dyDescent="0.25">
      <c r="A283" s="36" t="e">
        <f>VLOOKUP($C283,'Variable Information'!$A$2:$E$480,5,FALSE)</f>
        <v>#N/A</v>
      </c>
      <c r="B283" s="36" t="e">
        <f>VLOOKUP($C283,'Variable Information'!$A$1:$C$480,3,FALSE)</f>
        <v>#N/A</v>
      </c>
      <c r="C283" s="35"/>
      <c r="D283" s="30" t="s">
        <v>1456</v>
      </c>
      <c r="E283" s="15" t="s">
        <v>1563</v>
      </c>
    </row>
    <row r="284" spans="1:5" x14ac:dyDescent="0.25">
      <c r="A284" s="36" t="str">
        <f>VLOOKUP($C284,'Variable Information'!$A$2:$E$480,5,FALSE)</f>
        <v>AJP_C3_freq</v>
      </c>
      <c r="B284" s="36" t="str">
        <f>VLOOKUP($C284,'Variable Information'!$A$1:$C$480,3,FALSE)</f>
        <v>Q23_3_3_3. Frequency experienced - Eviction or threats of eviction or other harassment by a landlord</v>
      </c>
      <c r="C284" s="35" t="s">
        <v>241</v>
      </c>
      <c r="D284" s="30" t="s">
        <v>1447</v>
      </c>
      <c r="E284" s="15" t="s">
        <v>1560</v>
      </c>
    </row>
    <row r="285" spans="1:5" x14ac:dyDescent="0.25">
      <c r="A285" s="36" t="e">
        <f>VLOOKUP($C285,'Variable Information'!$A$2:$E$480,5,FALSE)</f>
        <v>#N/A</v>
      </c>
      <c r="B285" s="36" t="e">
        <f>VLOOKUP($C285,'Variable Information'!$A$1:$C$480,3,FALSE)</f>
        <v>#N/A</v>
      </c>
      <c r="C285" s="35"/>
      <c r="D285" s="30" t="s">
        <v>1449</v>
      </c>
      <c r="E285" s="15" t="s">
        <v>1561</v>
      </c>
    </row>
    <row r="286" spans="1:5" x14ac:dyDescent="0.25">
      <c r="A286" s="36" t="e">
        <f>VLOOKUP($C286,'Variable Information'!$A$2:$E$480,5,FALSE)</f>
        <v>#N/A</v>
      </c>
      <c r="B286" s="36" t="e">
        <f>VLOOKUP($C286,'Variable Information'!$A$1:$C$480,3,FALSE)</f>
        <v>#N/A</v>
      </c>
      <c r="C286" s="35"/>
      <c r="D286" s="30" t="s">
        <v>1451</v>
      </c>
      <c r="E286" s="15" t="s">
        <v>1562</v>
      </c>
    </row>
    <row r="287" spans="1:5" x14ac:dyDescent="0.25">
      <c r="A287" s="36" t="e">
        <f>VLOOKUP($C287,'Variable Information'!$A$2:$E$480,5,FALSE)</f>
        <v>#N/A</v>
      </c>
      <c r="B287" s="36" t="e">
        <f>VLOOKUP($C287,'Variable Information'!$A$1:$C$480,3,FALSE)</f>
        <v>#N/A</v>
      </c>
      <c r="C287" s="35"/>
      <c r="D287" s="30" t="s">
        <v>1456</v>
      </c>
      <c r="E287" s="15" t="s">
        <v>1563</v>
      </c>
    </row>
    <row r="288" spans="1:5" x14ac:dyDescent="0.25">
      <c r="A288" s="36" t="str">
        <f>VLOOKUP($C288,'Variable Information'!$A$2:$E$480,5,FALSE)</f>
        <v>AJP_D1_freq</v>
      </c>
      <c r="B288" s="36" t="str">
        <f>VLOOKUP($C288,'Variable Information'!$A$1:$C$480,3,FALSE)</f>
        <v>Q23_3_4_1. Frequency experienced - Issues with a tenant such as delayed/no payment of rent or dispute over a deposit</v>
      </c>
      <c r="C288" s="35" t="s">
        <v>244</v>
      </c>
      <c r="D288" s="30" t="s">
        <v>1447</v>
      </c>
      <c r="E288" s="15" t="s">
        <v>1560</v>
      </c>
    </row>
    <row r="289" spans="1:5" x14ac:dyDescent="0.25">
      <c r="A289" s="36" t="e">
        <f>VLOOKUP($C289,'Variable Information'!$A$2:$E$480,5,FALSE)</f>
        <v>#N/A</v>
      </c>
      <c r="B289" s="36" t="e">
        <f>VLOOKUP($C289,'Variable Information'!$A$1:$C$480,3,FALSE)</f>
        <v>#N/A</v>
      </c>
      <c r="C289" s="35"/>
      <c r="D289" s="30" t="s">
        <v>1449</v>
      </c>
      <c r="E289" s="15" t="s">
        <v>1561</v>
      </c>
    </row>
    <row r="290" spans="1:5" x14ac:dyDescent="0.25">
      <c r="A290" s="36" t="e">
        <f>VLOOKUP($C290,'Variable Information'!$A$2:$E$480,5,FALSE)</f>
        <v>#N/A</v>
      </c>
      <c r="B290" s="36" t="e">
        <f>VLOOKUP($C290,'Variable Information'!$A$1:$C$480,3,FALSE)</f>
        <v>#N/A</v>
      </c>
      <c r="C290" s="35"/>
      <c r="D290" s="30" t="s">
        <v>1451</v>
      </c>
      <c r="E290" s="15" t="s">
        <v>1562</v>
      </c>
    </row>
    <row r="291" spans="1:5" x14ac:dyDescent="0.25">
      <c r="A291" s="36" t="e">
        <f>VLOOKUP($C291,'Variable Information'!$A$2:$E$480,5,FALSE)</f>
        <v>#N/A</v>
      </c>
      <c r="B291" s="36" t="e">
        <f>VLOOKUP($C291,'Variable Information'!$A$1:$C$480,3,FALSE)</f>
        <v>#N/A</v>
      </c>
      <c r="C291" s="35"/>
      <c r="D291" s="30" t="s">
        <v>1456</v>
      </c>
      <c r="E291" s="15" t="s">
        <v>1563</v>
      </c>
    </row>
    <row r="292" spans="1:5" x14ac:dyDescent="0.25">
      <c r="A292" s="36" t="str">
        <f>VLOOKUP($C292,'Variable Information'!$A$2:$E$480,5,FALSE)</f>
        <v>AJP_D2_freq</v>
      </c>
      <c r="B292" s="36" t="str">
        <f>VLOOKUP($C292,'Variable Information'!$A$1:$C$480,3,FALSE)</f>
        <v>Q23_3_4_2. Frequency experienced - Property-related issues such as damage by tenants or access to property</v>
      </c>
      <c r="C292" s="35" t="s">
        <v>247</v>
      </c>
      <c r="D292" s="30" t="s">
        <v>1447</v>
      </c>
      <c r="E292" s="15" t="s">
        <v>1560</v>
      </c>
    </row>
    <row r="293" spans="1:5" x14ac:dyDescent="0.25">
      <c r="A293" s="36" t="e">
        <f>VLOOKUP($C293,'Variable Information'!$A$2:$E$480,5,FALSE)</f>
        <v>#N/A</v>
      </c>
      <c r="B293" s="36" t="e">
        <f>VLOOKUP($C293,'Variable Information'!$A$1:$C$480,3,FALSE)</f>
        <v>#N/A</v>
      </c>
      <c r="C293" s="35"/>
      <c r="D293" s="30" t="s">
        <v>1449</v>
      </c>
      <c r="E293" s="15" t="s">
        <v>1561</v>
      </c>
    </row>
    <row r="294" spans="1:5" x14ac:dyDescent="0.25">
      <c r="A294" s="36" t="e">
        <f>VLOOKUP($C294,'Variable Information'!$A$2:$E$480,5,FALSE)</f>
        <v>#N/A</v>
      </c>
      <c r="B294" s="36" t="e">
        <f>VLOOKUP($C294,'Variable Information'!$A$1:$C$480,3,FALSE)</f>
        <v>#N/A</v>
      </c>
      <c r="C294" s="35"/>
      <c r="D294" s="30" t="s">
        <v>1451</v>
      </c>
      <c r="E294" s="15" t="s">
        <v>1562</v>
      </c>
    </row>
    <row r="295" spans="1:5" x14ac:dyDescent="0.25">
      <c r="A295" s="36" t="e">
        <f>VLOOKUP($C295,'Variable Information'!$A$2:$E$480,5,FALSE)</f>
        <v>#N/A</v>
      </c>
      <c r="B295" s="36" t="e">
        <f>VLOOKUP($C295,'Variable Information'!$A$1:$C$480,3,FALSE)</f>
        <v>#N/A</v>
      </c>
      <c r="C295" s="35"/>
      <c r="D295" s="30" t="s">
        <v>1456</v>
      </c>
      <c r="E295" s="15" t="s">
        <v>1563</v>
      </c>
    </row>
    <row r="296" spans="1:5" x14ac:dyDescent="0.25">
      <c r="A296" s="36" t="str">
        <f>VLOOKUP($C296,'Variable Information'!$A$2:$E$480,5,FALSE)</f>
        <v>AJP_D3_freq</v>
      </c>
      <c r="B296" s="36" t="str">
        <f>VLOOKUP($C296,'Variable Information'!$A$1:$C$480,3,FALSE)</f>
        <v>Q23_3_4_3. Frequency experienced - Issues with tenants such as evictions or complaints</v>
      </c>
      <c r="C296" s="35" t="s">
        <v>250</v>
      </c>
      <c r="D296" s="30" t="s">
        <v>1447</v>
      </c>
      <c r="E296" s="15" t="s">
        <v>1560</v>
      </c>
    </row>
    <row r="297" spans="1:5" x14ac:dyDescent="0.25">
      <c r="A297" s="36" t="e">
        <f>VLOOKUP($C297,'Variable Information'!$A$2:$E$480,5,FALSE)</f>
        <v>#N/A</v>
      </c>
      <c r="B297" s="36" t="e">
        <f>VLOOKUP($C297,'Variable Information'!$A$1:$C$480,3,FALSE)</f>
        <v>#N/A</v>
      </c>
      <c r="C297" s="35"/>
      <c r="D297" s="30" t="s">
        <v>1449</v>
      </c>
      <c r="E297" s="15" t="s">
        <v>1561</v>
      </c>
    </row>
    <row r="298" spans="1:5" x14ac:dyDescent="0.25">
      <c r="A298" s="36" t="e">
        <f>VLOOKUP($C298,'Variable Information'!$A$2:$E$480,5,FALSE)</f>
        <v>#N/A</v>
      </c>
      <c r="B298" s="36" t="e">
        <f>VLOOKUP($C298,'Variable Information'!$A$1:$C$480,3,FALSE)</f>
        <v>#N/A</v>
      </c>
      <c r="C298" s="35"/>
      <c r="D298" s="30" t="s">
        <v>1451</v>
      </c>
      <c r="E298" s="15" t="s">
        <v>1562</v>
      </c>
    </row>
    <row r="299" spans="1:5" x14ac:dyDescent="0.25">
      <c r="A299" s="36" t="e">
        <f>VLOOKUP($C299,'Variable Information'!$A$2:$E$480,5,FALSE)</f>
        <v>#N/A</v>
      </c>
      <c r="B299" s="36" t="e">
        <f>VLOOKUP($C299,'Variable Information'!$A$1:$C$480,3,FALSE)</f>
        <v>#N/A</v>
      </c>
      <c r="C299" s="35"/>
      <c r="D299" s="30" t="s">
        <v>1456</v>
      </c>
      <c r="E299" s="15" t="s">
        <v>1563</v>
      </c>
    </row>
    <row r="300" spans="1:5" x14ac:dyDescent="0.25">
      <c r="A300" s="36" t="str">
        <f>VLOOKUP($C300,'Variable Information'!$A$2:$E$480,5,FALSE)</f>
        <v>AJP_E1_freq</v>
      </c>
      <c r="B300" s="36" t="str">
        <f>VLOOKUP($C300,'Variable Information'!$A$1:$C$480,3,FALSE)</f>
        <v>Q23_3_5_1. Frequency experienced - Building/planning related disputes</v>
      </c>
      <c r="C300" s="35" t="s">
        <v>253</v>
      </c>
      <c r="D300" s="30" t="s">
        <v>1447</v>
      </c>
      <c r="E300" s="15" t="s">
        <v>1560</v>
      </c>
    </row>
    <row r="301" spans="1:5" x14ac:dyDescent="0.25">
      <c r="A301" s="36" t="e">
        <f>VLOOKUP($C301,'Variable Information'!$A$2:$E$480,5,FALSE)</f>
        <v>#N/A</v>
      </c>
      <c r="B301" s="36" t="e">
        <f>VLOOKUP($C301,'Variable Information'!$A$1:$C$480,3,FALSE)</f>
        <v>#N/A</v>
      </c>
      <c r="C301" s="35"/>
      <c r="D301" s="30" t="s">
        <v>1449</v>
      </c>
      <c r="E301" s="15" t="s">
        <v>1561</v>
      </c>
    </row>
    <row r="302" spans="1:5" x14ac:dyDescent="0.25">
      <c r="A302" s="36" t="e">
        <f>VLOOKUP($C302,'Variable Information'!$A$2:$E$480,5,FALSE)</f>
        <v>#N/A</v>
      </c>
      <c r="B302" s="36" t="e">
        <f>VLOOKUP($C302,'Variable Information'!$A$1:$C$480,3,FALSE)</f>
        <v>#N/A</v>
      </c>
      <c r="C302" s="35"/>
      <c r="D302" s="30" t="s">
        <v>1451</v>
      </c>
      <c r="E302" s="15" t="s">
        <v>1562</v>
      </c>
    </row>
    <row r="303" spans="1:5" x14ac:dyDescent="0.25">
      <c r="A303" s="36" t="e">
        <f>VLOOKUP($C303,'Variable Information'!$A$2:$E$480,5,FALSE)</f>
        <v>#N/A</v>
      </c>
      <c r="B303" s="36" t="e">
        <f>VLOOKUP($C303,'Variable Information'!$A$1:$C$480,3,FALSE)</f>
        <v>#N/A</v>
      </c>
      <c r="C303" s="35"/>
      <c r="D303" s="30" t="s">
        <v>1456</v>
      </c>
      <c r="E303" s="15" t="s">
        <v>1563</v>
      </c>
    </row>
    <row r="304" spans="1:5" x14ac:dyDescent="0.25">
      <c r="A304" s="36" t="str">
        <f>VLOOKUP($C304,'Variable Information'!$A$2:$E$480,5,FALSE)</f>
        <v>AJP_E2_freq</v>
      </c>
      <c r="B304" s="36" t="str">
        <f>VLOOKUP($C304,'Variable Information'!$A$1:$C$480,3,FALSE)</f>
        <v>Q23_3_5_2. Frequency experienced - Issues with builders/tradespeople about the quality of construction or repairs or disputes about costs</v>
      </c>
      <c r="C304" s="35" t="s">
        <v>256</v>
      </c>
      <c r="D304" s="30" t="s">
        <v>1447</v>
      </c>
      <c r="E304" s="15" t="s">
        <v>1560</v>
      </c>
    </row>
    <row r="305" spans="1:5" x14ac:dyDescent="0.25">
      <c r="A305" s="36" t="e">
        <f>VLOOKUP($C305,'Variable Information'!$A$2:$E$480,5,FALSE)</f>
        <v>#N/A</v>
      </c>
      <c r="B305" s="36" t="e">
        <f>VLOOKUP($C305,'Variable Information'!$A$1:$C$480,3,FALSE)</f>
        <v>#N/A</v>
      </c>
      <c r="C305" s="35"/>
      <c r="D305" s="30" t="s">
        <v>1449</v>
      </c>
      <c r="E305" s="15" t="s">
        <v>1561</v>
      </c>
    </row>
    <row r="306" spans="1:5" x14ac:dyDescent="0.25">
      <c r="A306" s="36" t="e">
        <f>VLOOKUP($C306,'Variable Information'!$A$2:$E$480,5,FALSE)</f>
        <v>#N/A</v>
      </c>
      <c r="B306" s="36" t="e">
        <f>VLOOKUP($C306,'Variable Information'!$A$1:$C$480,3,FALSE)</f>
        <v>#N/A</v>
      </c>
      <c r="C306" s="35"/>
      <c r="D306" s="30" t="s">
        <v>1451</v>
      </c>
      <c r="E306" s="15" t="s">
        <v>1562</v>
      </c>
    </row>
    <row r="307" spans="1:5" x14ac:dyDescent="0.25">
      <c r="A307" s="36" t="e">
        <f>VLOOKUP($C307,'Variable Information'!$A$2:$E$480,5,FALSE)</f>
        <v>#N/A</v>
      </c>
      <c r="B307" s="36" t="e">
        <f>VLOOKUP($C307,'Variable Information'!$A$1:$C$480,3,FALSE)</f>
        <v>#N/A</v>
      </c>
      <c r="C307" s="35"/>
      <c r="D307" s="30" t="s">
        <v>1456</v>
      </c>
      <c r="E307" s="15" t="s">
        <v>1563</v>
      </c>
    </row>
    <row r="308" spans="1:5" x14ac:dyDescent="0.25">
      <c r="A308" s="36" t="str">
        <f>VLOOKUP($C308,'Variable Information'!$A$2:$E$480,5,FALSE)</f>
        <v>AJP_E3_freq</v>
      </c>
      <c r="B308" s="36" t="str">
        <f>VLOOKUP($C308,'Variable Information'!$A$1:$C$480,3,FALSE)</f>
        <v>Q23_3_5_3. Frequency experienced - Disputes about communal repairs/maintenance/costs</v>
      </c>
      <c r="C308" s="35" t="s">
        <v>259</v>
      </c>
      <c r="D308" s="30" t="s">
        <v>1447</v>
      </c>
      <c r="E308" s="15" t="s">
        <v>1560</v>
      </c>
    </row>
    <row r="309" spans="1:5" x14ac:dyDescent="0.25">
      <c r="A309" s="36" t="e">
        <f>VLOOKUP($C309,'Variable Information'!$A$2:$E$480,5,FALSE)</f>
        <v>#N/A</v>
      </c>
      <c r="B309" s="36" t="e">
        <f>VLOOKUP($C309,'Variable Information'!$A$1:$C$480,3,FALSE)</f>
        <v>#N/A</v>
      </c>
      <c r="C309" s="35"/>
      <c r="D309" s="30" t="s">
        <v>1449</v>
      </c>
      <c r="E309" s="15" t="s">
        <v>1561</v>
      </c>
    </row>
    <row r="310" spans="1:5" x14ac:dyDescent="0.25">
      <c r="A310" s="36" t="e">
        <f>VLOOKUP($C310,'Variable Information'!$A$2:$E$480,5,FALSE)</f>
        <v>#N/A</v>
      </c>
      <c r="B310" s="36" t="e">
        <f>VLOOKUP($C310,'Variable Information'!$A$1:$C$480,3,FALSE)</f>
        <v>#N/A</v>
      </c>
      <c r="C310" s="35"/>
      <c r="D310" s="30" t="s">
        <v>1451</v>
      </c>
      <c r="E310" s="15" t="s">
        <v>1562</v>
      </c>
    </row>
    <row r="311" spans="1:5" x14ac:dyDescent="0.25">
      <c r="A311" s="36" t="e">
        <f>VLOOKUP($C311,'Variable Information'!$A$2:$E$480,5,FALSE)</f>
        <v>#N/A</v>
      </c>
      <c r="B311" s="36" t="e">
        <f>VLOOKUP($C311,'Variable Information'!$A$1:$C$480,3,FALSE)</f>
        <v>#N/A</v>
      </c>
      <c r="C311" s="35"/>
      <c r="D311" s="30" t="s">
        <v>1456</v>
      </c>
      <c r="E311" s="15" t="s">
        <v>1563</v>
      </c>
    </row>
    <row r="312" spans="1:5" x14ac:dyDescent="0.25">
      <c r="A312" s="36" t="str">
        <f>VLOOKUP($C312,'Variable Information'!$A$2:$E$480,5,FALSE)</f>
        <v>AJP_E4_freq</v>
      </c>
      <c r="B312" s="36" t="str">
        <f>VLOOKUP($C312,'Variable Information'!$A$1:$C$480,3,FALSE)</f>
        <v>Q23_3_5_4. Frequency experienced - Problems or disputes concerning Local Property Tax or Council/local services</v>
      </c>
      <c r="C312" s="35" t="s">
        <v>262</v>
      </c>
      <c r="D312" s="30" t="s">
        <v>1447</v>
      </c>
      <c r="E312" s="15" t="s">
        <v>1560</v>
      </c>
    </row>
    <row r="313" spans="1:5" x14ac:dyDescent="0.25">
      <c r="A313" s="36" t="e">
        <f>VLOOKUP($C313,'Variable Information'!$A$2:$E$480,5,FALSE)</f>
        <v>#N/A</v>
      </c>
      <c r="B313" s="36" t="e">
        <f>VLOOKUP($C313,'Variable Information'!$A$1:$C$480,3,FALSE)</f>
        <v>#N/A</v>
      </c>
      <c r="C313" s="35"/>
      <c r="D313" s="30" t="s">
        <v>1449</v>
      </c>
      <c r="E313" s="15" t="s">
        <v>1561</v>
      </c>
    </row>
    <row r="314" spans="1:5" x14ac:dyDescent="0.25">
      <c r="A314" s="36" t="e">
        <f>VLOOKUP($C314,'Variable Information'!$A$2:$E$480,5,FALSE)</f>
        <v>#N/A</v>
      </c>
      <c r="B314" s="36" t="e">
        <f>VLOOKUP($C314,'Variable Information'!$A$1:$C$480,3,FALSE)</f>
        <v>#N/A</v>
      </c>
      <c r="C314" s="35"/>
      <c r="D314" s="30" t="s">
        <v>1451</v>
      </c>
      <c r="E314" s="15" t="s">
        <v>1562</v>
      </c>
    </row>
    <row r="315" spans="1:5" x14ac:dyDescent="0.25">
      <c r="A315" s="36" t="e">
        <f>VLOOKUP($C315,'Variable Information'!$A$2:$E$480,5,FALSE)</f>
        <v>#N/A</v>
      </c>
      <c r="B315" s="36" t="e">
        <f>VLOOKUP($C315,'Variable Information'!$A$1:$C$480,3,FALSE)</f>
        <v>#N/A</v>
      </c>
      <c r="C315" s="35"/>
      <c r="D315" s="30" t="s">
        <v>1456</v>
      </c>
      <c r="E315" s="15" t="s">
        <v>1563</v>
      </c>
    </row>
    <row r="316" spans="1:5" x14ac:dyDescent="0.25">
      <c r="A316" s="36" t="str">
        <f>VLOOKUP($C316,'Variable Information'!$A$2:$E$480,5,FALSE)</f>
        <v>AJP_E5_freq</v>
      </c>
      <c r="B316" s="36" t="str">
        <f>VLOOKUP($C316,'Variable Information'!$A$1:$C$480,3,FALSE)</f>
        <v>Q23_3_5_5. Frequency experienced - Squatters</v>
      </c>
      <c r="C316" s="35" t="s">
        <v>265</v>
      </c>
      <c r="D316" s="30" t="s">
        <v>1447</v>
      </c>
      <c r="E316" s="15" t="s">
        <v>1560</v>
      </c>
    </row>
    <row r="317" spans="1:5" x14ac:dyDescent="0.25">
      <c r="A317" s="36" t="e">
        <f>VLOOKUP($C317,'Variable Information'!$A$2:$E$480,5,FALSE)</f>
        <v>#N/A</v>
      </c>
      <c r="B317" s="36" t="e">
        <f>VLOOKUP($C317,'Variable Information'!$A$1:$C$480,3,FALSE)</f>
        <v>#N/A</v>
      </c>
      <c r="C317" s="35"/>
      <c r="D317" s="30" t="s">
        <v>1449</v>
      </c>
      <c r="E317" s="15" t="s">
        <v>1561</v>
      </c>
    </row>
    <row r="318" spans="1:5" x14ac:dyDescent="0.25">
      <c r="A318" s="36" t="e">
        <f>VLOOKUP($C318,'Variable Information'!$A$2:$E$480,5,FALSE)</f>
        <v>#N/A</v>
      </c>
      <c r="B318" s="36" t="e">
        <f>VLOOKUP($C318,'Variable Information'!$A$1:$C$480,3,FALSE)</f>
        <v>#N/A</v>
      </c>
      <c r="C318" s="35"/>
      <c r="D318" s="30" t="s">
        <v>1451</v>
      </c>
      <c r="E318" s="15" t="s">
        <v>1562</v>
      </c>
    </row>
    <row r="319" spans="1:5" x14ac:dyDescent="0.25">
      <c r="A319" s="36" t="e">
        <f>VLOOKUP($C319,'Variable Information'!$A$2:$E$480,5,FALSE)</f>
        <v>#N/A</v>
      </c>
      <c r="B319" s="36" t="e">
        <f>VLOOKUP($C319,'Variable Information'!$A$1:$C$480,3,FALSE)</f>
        <v>#N/A</v>
      </c>
      <c r="C319" s="35"/>
      <c r="D319" s="30" t="s">
        <v>1456</v>
      </c>
      <c r="E319" s="15" t="s">
        <v>1563</v>
      </c>
    </row>
    <row r="320" spans="1:5" x14ac:dyDescent="0.25">
      <c r="A320" s="36" t="str">
        <f>VLOOKUP($C320,'Variable Information'!$A$2:$E$480,5,FALSE)</f>
        <v>AJP_E6_freq</v>
      </c>
      <c r="B320" s="36" t="str">
        <f>VLOOKUP($C320,'Variable Information'!$A$1:$C$480,3,FALSE)</f>
        <v>Q23_3_5_6. Frequency experienced - Dispute with utilities/essential services (e.g. waste disposal water electricity internet or other utility provider)</v>
      </c>
      <c r="C320" s="35" t="s">
        <v>268</v>
      </c>
      <c r="D320" s="30" t="s">
        <v>1447</v>
      </c>
      <c r="E320" s="15" t="s">
        <v>1560</v>
      </c>
    </row>
    <row r="321" spans="1:5" x14ac:dyDescent="0.25">
      <c r="A321" s="36" t="e">
        <f>VLOOKUP($C321,'Variable Information'!$A$2:$E$480,5,FALSE)</f>
        <v>#N/A</v>
      </c>
      <c r="B321" s="36" t="e">
        <f>VLOOKUP($C321,'Variable Information'!$A$1:$C$480,3,FALSE)</f>
        <v>#N/A</v>
      </c>
      <c r="C321" s="35"/>
      <c r="D321" s="30" t="s">
        <v>1449</v>
      </c>
      <c r="E321" s="15" t="s">
        <v>1561</v>
      </c>
    </row>
    <row r="322" spans="1:5" x14ac:dyDescent="0.25">
      <c r="A322" s="36" t="e">
        <f>VLOOKUP($C322,'Variable Information'!$A$2:$E$480,5,FALSE)</f>
        <v>#N/A</v>
      </c>
      <c r="B322" s="36" t="e">
        <f>VLOOKUP($C322,'Variable Information'!$A$1:$C$480,3,FALSE)</f>
        <v>#N/A</v>
      </c>
      <c r="C322" s="35"/>
      <c r="D322" s="30" t="s">
        <v>1451</v>
      </c>
      <c r="E322" s="15" t="s">
        <v>1562</v>
      </c>
    </row>
    <row r="323" spans="1:5" x14ac:dyDescent="0.25">
      <c r="A323" s="36" t="e">
        <f>VLOOKUP($C323,'Variable Information'!$A$2:$E$480,5,FALSE)</f>
        <v>#N/A</v>
      </c>
      <c r="B323" s="36" t="e">
        <f>VLOOKUP($C323,'Variable Information'!$A$1:$C$480,3,FALSE)</f>
        <v>#N/A</v>
      </c>
      <c r="C323" s="35"/>
      <c r="D323" s="30" t="s">
        <v>1456</v>
      </c>
      <c r="E323" s="15" t="s">
        <v>1563</v>
      </c>
    </row>
    <row r="324" spans="1:5" x14ac:dyDescent="0.25">
      <c r="A324" s="36" t="str">
        <f>VLOOKUP($C324,'Variable Information'!$A$2:$E$480,5,FALSE)</f>
        <v>AJP_E7_freq</v>
      </c>
      <c r="B324" s="36" t="str">
        <f>VLOOKUP($C324,'Variable Information'!$A$1:$C$480,3,FALSE)</f>
        <v>Q23_3_5_7. Frequency experienced - Mortgage related issues including repossession threatened repossession or late payment</v>
      </c>
      <c r="C324" s="35" t="s">
        <v>271</v>
      </c>
      <c r="D324" s="30" t="s">
        <v>1447</v>
      </c>
      <c r="E324" s="15" t="s">
        <v>1560</v>
      </c>
    </row>
    <row r="325" spans="1:5" x14ac:dyDescent="0.25">
      <c r="A325" s="36" t="e">
        <f>VLOOKUP($C325,'Variable Information'!$A$2:$E$480,5,FALSE)</f>
        <v>#N/A</v>
      </c>
      <c r="B325" s="36" t="e">
        <f>VLOOKUP($C325,'Variable Information'!$A$1:$C$480,3,FALSE)</f>
        <v>#N/A</v>
      </c>
      <c r="C325" s="35"/>
      <c r="D325" s="30" t="s">
        <v>1449</v>
      </c>
      <c r="E325" s="15" t="s">
        <v>1561</v>
      </c>
    </row>
    <row r="326" spans="1:5" x14ac:dyDescent="0.25">
      <c r="A326" s="36" t="e">
        <f>VLOOKUP($C326,'Variable Information'!$A$2:$E$480,5,FALSE)</f>
        <v>#N/A</v>
      </c>
      <c r="B326" s="36" t="e">
        <f>VLOOKUP($C326,'Variable Information'!$A$1:$C$480,3,FALSE)</f>
        <v>#N/A</v>
      </c>
      <c r="C326" s="35"/>
      <c r="D326" s="30" t="s">
        <v>1451</v>
      </c>
      <c r="E326" s="15" t="s">
        <v>1562</v>
      </c>
    </row>
    <row r="327" spans="1:5" x14ac:dyDescent="0.25">
      <c r="A327" s="36" t="e">
        <f>VLOOKUP($C327,'Variable Information'!$A$2:$E$480,5,FALSE)</f>
        <v>#N/A</v>
      </c>
      <c r="B327" s="36" t="e">
        <f>VLOOKUP($C327,'Variable Information'!$A$1:$C$480,3,FALSE)</f>
        <v>#N/A</v>
      </c>
      <c r="C327" s="35"/>
      <c r="D327" s="30" t="s">
        <v>1456</v>
      </c>
      <c r="E327" s="15" t="s">
        <v>1563</v>
      </c>
    </row>
    <row r="328" spans="1:5" x14ac:dyDescent="0.25">
      <c r="A328" s="36" t="str">
        <f>VLOOKUP($C328,'Variable Information'!$A$2:$E$480,5,FALSE)</f>
        <v>AJP_F1_freq</v>
      </c>
      <c r="B328" s="36" t="str">
        <f>VLOOKUP($C328,'Variable Information'!$A$1:$C$480,3,FALSE)</f>
        <v>Q23_3_6_1. Frequency experienced - Separation and/or divorce</v>
      </c>
      <c r="C328" s="35" t="s">
        <v>274</v>
      </c>
      <c r="D328" s="30" t="s">
        <v>1447</v>
      </c>
      <c r="E328" s="15" t="s">
        <v>1560</v>
      </c>
    </row>
    <row r="329" spans="1:5" x14ac:dyDescent="0.25">
      <c r="A329" s="36" t="e">
        <f>VLOOKUP($C329,'Variable Information'!$A$2:$E$480,5,FALSE)</f>
        <v>#N/A</v>
      </c>
      <c r="B329" s="36" t="e">
        <f>VLOOKUP($C329,'Variable Information'!$A$1:$C$480,3,FALSE)</f>
        <v>#N/A</v>
      </c>
      <c r="C329" s="35"/>
      <c r="D329" s="30" t="s">
        <v>1449</v>
      </c>
      <c r="E329" s="15" t="s">
        <v>1561</v>
      </c>
    </row>
    <row r="330" spans="1:5" x14ac:dyDescent="0.25">
      <c r="A330" s="36" t="e">
        <f>VLOOKUP($C330,'Variable Information'!$A$2:$E$480,5,FALSE)</f>
        <v>#N/A</v>
      </c>
      <c r="B330" s="36" t="e">
        <f>VLOOKUP($C330,'Variable Information'!$A$1:$C$480,3,FALSE)</f>
        <v>#N/A</v>
      </c>
      <c r="C330" s="35"/>
      <c r="D330" s="30" t="s">
        <v>1451</v>
      </c>
      <c r="E330" s="15" t="s">
        <v>1562</v>
      </c>
    </row>
    <row r="331" spans="1:5" x14ac:dyDescent="0.25">
      <c r="A331" s="36" t="e">
        <f>VLOOKUP($C331,'Variable Information'!$A$2:$E$480,5,FALSE)</f>
        <v>#N/A</v>
      </c>
      <c r="B331" s="36" t="e">
        <f>VLOOKUP($C331,'Variable Information'!$A$1:$C$480,3,FALSE)</f>
        <v>#N/A</v>
      </c>
      <c r="C331" s="35"/>
      <c r="D331" s="30" t="s">
        <v>1456</v>
      </c>
      <c r="E331" s="15" t="s">
        <v>1563</v>
      </c>
    </row>
    <row r="332" spans="1:5" x14ac:dyDescent="0.25">
      <c r="A332" s="36" t="str">
        <f>VLOOKUP($C332,'Variable Information'!$A$2:$E$480,5,FALSE)</f>
        <v>AJP_F2_freq</v>
      </c>
      <c r="B332" s="36" t="str">
        <f>VLOOKUP($C332,'Variable Information'!$A$1:$C$480,3,FALSE)</f>
        <v>Q23_3_6_2. Frequency experienced - Violent or controlling behaviour by a current or former partner</v>
      </c>
      <c r="C332" s="35" t="s">
        <v>277</v>
      </c>
      <c r="D332" s="30" t="s">
        <v>1447</v>
      </c>
      <c r="E332" s="15" t="s">
        <v>1560</v>
      </c>
    </row>
    <row r="333" spans="1:5" x14ac:dyDescent="0.25">
      <c r="A333" s="36" t="e">
        <f>VLOOKUP($C333,'Variable Information'!$A$2:$E$480,5,FALSE)</f>
        <v>#N/A</v>
      </c>
      <c r="B333" s="36" t="e">
        <f>VLOOKUP($C333,'Variable Information'!$A$1:$C$480,3,FALSE)</f>
        <v>#N/A</v>
      </c>
      <c r="C333" s="35"/>
      <c r="D333" s="30" t="s">
        <v>1449</v>
      </c>
      <c r="E333" s="15" t="s">
        <v>1561</v>
      </c>
    </row>
    <row r="334" spans="1:5" x14ac:dyDescent="0.25">
      <c r="A334" s="36" t="e">
        <f>VLOOKUP($C334,'Variable Information'!$A$2:$E$480,5,FALSE)</f>
        <v>#N/A</v>
      </c>
      <c r="B334" s="36" t="e">
        <f>VLOOKUP($C334,'Variable Information'!$A$1:$C$480,3,FALSE)</f>
        <v>#N/A</v>
      </c>
      <c r="C334" s="35"/>
      <c r="D334" s="30" t="s">
        <v>1451</v>
      </c>
      <c r="E334" s="15" t="s">
        <v>1562</v>
      </c>
    </row>
    <row r="335" spans="1:5" x14ac:dyDescent="0.25">
      <c r="A335" s="36" t="e">
        <f>VLOOKUP($C335,'Variable Information'!$A$2:$E$480,5,FALSE)</f>
        <v>#N/A</v>
      </c>
      <c r="B335" s="36" t="e">
        <f>VLOOKUP($C335,'Variable Information'!$A$1:$C$480,3,FALSE)</f>
        <v>#N/A</v>
      </c>
      <c r="C335" s="35"/>
      <c r="D335" s="30" t="s">
        <v>1456</v>
      </c>
      <c r="E335" s="15" t="s">
        <v>1563</v>
      </c>
    </row>
    <row r="336" spans="1:5" x14ac:dyDescent="0.25">
      <c r="A336" s="36" t="str">
        <f>VLOOKUP($C336,'Variable Information'!$A$2:$E$480,5,FALSE)</f>
        <v>AJP_F3_freq</v>
      </c>
      <c r="B336" s="36" t="str">
        <f>VLOOKUP($C336,'Variable Information'!$A$1:$C$480,3,FALSE)</f>
        <v>Q23_3_6_3. Frequency experienced - Violent or controlling behaviour by another family member</v>
      </c>
      <c r="C336" s="35" t="s">
        <v>280</v>
      </c>
      <c r="D336" s="30" t="s">
        <v>1447</v>
      </c>
      <c r="E336" s="15" t="s">
        <v>1560</v>
      </c>
    </row>
    <row r="337" spans="1:5" x14ac:dyDescent="0.25">
      <c r="A337" s="36" t="e">
        <f>VLOOKUP($C337,'Variable Information'!$A$2:$E$480,5,FALSE)</f>
        <v>#N/A</v>
      </c>
      <c r="B337" s="36" t="e">
        <f>VLOOKUP($C337,'Variable Information'!$A$1:$C$480,3,FALSE)</f>
        <v>#N/A</v>
      </c>
      <c r="C337" s="35"/>
      <c r="D337" s="30" t="s">
        <v>1449</v>
      </c>
      <c r="E337" s="15" t="s">
        <v>1561</v>
      </c>
    </row>
    <row r="338" spans="1:5" x14ac:dyDescent="0.25">
      <c r="A338" s="36" t="e">
        <f>VLOOKUP($C338,'Variable Information'!$A$2:$E$480,5,FALSE)</f>
        <v>#N/A</v>
      </c>
      <c r="B338" s="36" t="e">
        <f>VLOOKUP($C338,'Variable Information'!$A$1:$C$480,3,FALSE)</f>
        <v>#N/A</v>
      </c>
      <c r="C338" s="35"/>
      <c r="D338" s="30" t="s">
        <v>1451</v>
      </c>
      <c r="E338" s="15" t="s">
        <v>1562</v>
      </c>
    </row>
    <row r="339" spans="1:5" x14ac:dyDescent="0.25">
      <c r="A339" s="36" t="e">
        <f>VLOOKUP($C339,'Variable Information'!$A$2:$E$480,5,FALSE)</f>
        <v>#N/A</v>
      </c>
      <c r="B339" s="36" t="e">
        <f>VLOOKUP($C339,'Variable Information'!$A$1:$C$480,3,FALSE)</f>
        <v>#N/A</v>
      </c>
      <c r="C339" s="35"/>
      <c r="D339" s="30" t="s">
        <v>1456</v>
      </c>
      <c r="E339" s="15" t="s">
        <v>1563</v>
      </c>
    </row>
    <row r="340" spans="1:5" x14ac:dyDescent="0.25">
      <c r="A340" s="36" t="str">
        <f>VLOOKUP($C340,'Variable Information'!$A$2:$E$480,5,FALSE)</f>
        <v>AJP_F4_freq</v>
      </c>
      <c r="B340" s="36" t="str">
        <f>VLOOKUP($C340,'Variable Information'!$A$1:$C$480,3,FALSE)</f>
        <v>Q23_3_6_4. Frequency experienced - Issues related to child access custody or child/spousal maintenance</v>
      </c>
      <c r="C340" s="35" t="s">
        <v>283</v>
      </c>
      <c r="D340" s="30" t="s">
        <v>1447</v>
      </c>
      <c r="E340" s="15" t="s">
        <v>1560</v>
      </c>
    </row>
    <row r="341" spans="1:5" x14ac:dyDescent="0.25">
      <c r="A341" s="36" t="e">
        <f>VLOOKUP($C341,'Variable Information'!$A$2:$E$480,5,FALSE)</f>
        <v>#N/A</v>
      </c>
      <c r="B341" s="36" t="e">
        <f>VLOOKUP($C341,'Variable Information'!$A$1:$C$480,3,FALSE)</f>
        <v>#N/A</v>
      </c>
      <c r="C341" s="35"/>
      <c r="D341" s="30" t="s">
        <v>1449</v>
      </c>
      <c r="E341" s="15" t="s">
        <v>1561</v>
      </c>
    </row>
    <row r="342" spans="1:5" x14ac:dyDescent="0.25">
      <c r="A342" s="36" t="e">
        <f>VLOOKUP($C342,'Variable Information'!$A$2:$E$480,5,FALSE)</f>
        <v>#N/A</v>
      </c>
      <c r="B342" s="36" t="e">
        <f>VLOOKUP($C342,'Variable Information'!$A$1:$C$480,3,FALSE)</f>
        <v>#N/A</v>
      </c>
      <c r="C342" s="35"/>
      <c r="D342" s="30" t="s">
        <v>1451</v>
      </c>
      <c r="E342" s="15" t="s">
        <v>1562</v>
      </c>
    </row>
    <row r="343" spans="1:5" x14ac:dyDescent="0.25">
      <c r="A343" s="36" t="e">
        <f>VLOOKUP($C343,'Variable Information'!$A$2:$E$480,5,FALSE)</f>
        <v>#N/A</v>
      </c>
      <c r="B343" s="36" t="e">
        <f>VLOOKUP($C343,'Variable Information'!$A$1:$C$480,3,FALSE)</f>
        <v>#N/A</v>
      </c>
      <c r="C343" s="35"/>
      <c r="D343" s="30" t="s">
        <v>1456</v>
      </c>
      <c r="E343" s="15" t="s">
        <v>1563</v>
      </c>
    </row>
    <row r="344" spans="1:5" x14ac:dyDescent="0.25">
      <c r="A344" s="36" t="str">
        <f>VLOOKUP($C344,'Variable Information'!$A$2:$E$480,5,FALSE)</f>
        <v>AJP_F5_freq</v>
      </c>
      <c r="B344" s="36" t="str">
        <f>VLOOKUP($C344,'Variable Information'!$A$1:$C$480,3,FALSE)</f>
        <v>Q23_3_6_5. Frequency experienced - Problems or disputes related to elderly or other dependent adult care</v>
      </c>
      <c r="C344" s="35" t="s">
        <v>286</v>
      </c>
      <c r="D344" s="30" t="s">
        <v>1447</v>
      </c>
      <c r="E344" s="15" t="s">
        <v>1560</v>
      </c>
    </row>
    <row r="345" spans="1:5" x14ac:dyDescent="0.25">
      <c r="A345" s="36" t="e">
        <f>VLOOKUP($C345,'Variable Information'!$A$2:$E$480,5,FALSE)</f>
        <v>#N/A</v>
      </c>
      <c r="B345" s="36" t="e">
        <f>VLOOKUP($C345,'Variable Information'!$A$1:$C$480,3,FALSE)</f>
        <v>#N/A</v>
      </c>
      <c r="C345" s="35"/>
      <c r="D345" s="30" t="s">
        <v>1449</v>
      </c>
      <c r="E345" s="15" t="s">
        <v>1561</v>
      </c>
    </row>
    <row r="346" spans="1:5" x14ac:dyDescent="0.25">
      <c r="A346" s="36" t="e">
        <f>VLOOKUP($C346,'Variable Information'!$A$2:$E$480,5,FALSE)</f>
        <v>#N/A</v>
      </c>
      <c r="B346" s="36" t="e">
        <f>VLOOKUP($C346,'Variable Information'!$A$1:$C$480,3,FALSE)</f>
        <v>#N/A</v>
      </c>
      <c r="C346" s="35"/>
      <c r="D346" s="30" t="s">
        <v>1451</v>
      </c>
      <c r="E346" s="15" t="s">
        <v>1562</v>
      </c>
    </row>
    <row r="347" spans="1:5" x14ac:dyDescent="0.25">
      <c r="A347" s="36" t="e">
        <f>VLOOKUP($C347,'Variable Information'!$A$2:$E$480,5,FALSE)</f>
        <v>#N/A</v>
      </c>
      <c r="B347" s="36" t="e">
        <f>VLOOKUP($C347,'Variable Information'!$A$1:$C$480,3,FALSE)</f>
        <v>#N/A</v>
      </c>
      <c r="C347" s="35"/>
      <c r="D347" s="30" t="s">
        <v>1456</v>
      </c>
      <c r="E347" s="15" t="s">
        <v>1563</v>
      </c>
    </row>
    <row r="348" spans="1:5" x14ac:dyDescent="0.25">
      <c r="A348" s="36" t="str">
        <f>VLOOKUP($C348,'Variable Information'!$A$2:$E$480,5,FALSE)</f>
        <v>AJP_F6_freq</v>
      </c>
      <c r="B348" s="36" t="str">
        <f>VLOOKUP($C348,'Variable Information'!$A$1:$C$480,3,FALSE)</f>
        <v>Q23_3_6_6. Frequency experienced - Disputes related to inheritance or a will</v>
      </c>
      <c r="C348" s="35" t="s">
        <v>289</v>
      </c>
      <c r="D348" s="30" t="s">
        <v>1447</v>
      </c>
      <c r="E348" s="15" t="s">
        <v>1560</v>
      </c>
    </row>
    <row r="349" spans="1:5" x14ac:dyDescent="0.25">
      <c r="A349" s="36" t="e">
        <f>VLOOKUP($C349,'Variable Information'!$A$2:$E$480,5,FALSE)</f>
        <v>#N/A</v>
      </c>
      <c r="B349" s="36" t="e">
        <f>VLOOKUP($C349,'Variable Information'!$A$1:$C$480,3,FALSE)</f>
        <v>#N/A</v>
      </c>
      <c r="C349" s="35"/>
      <c r="D349" s="30" t="s">
        <v>1449</v>
      </c>
      <c r="E349" s="15" t="s">
        <v>1561</v>
      </c>
    </row>
    <row r="350" spans="1:5" x14ac:dyDescent="0.25">
      <c r="A350" s="36" t="e">
        <f>VLOOKUP($C350,'Variable Information'!$A$2:$E$480,5,FALSE)</f>
        <v>#N/A</v>
      </c>
      <c r="B350" s="36" t="e">
        <f>VLOOKUP($C350,'Variable Information'!$A$1:$C$480,3,FALSE)</f>
        <v>#N/A</v>
      </c>
      <c r="C350" s="35"/>
      <c r="D350" s="30" t="s">
        <v>1451</v>
      </c>
      <c r="E350" s="15" t="s">
        <v>1562</v>
      </c>
    </row>
    <row r="351" spans="1:5" x14ac:dyDescent="0.25">
      <c r="A351" s="36" t="e">
        <f>VLOOKUP($C351,'Variable Information'!$A$2:$E$480,5,FALSE)</f>
        <v>#N/A</v>
      </c>
      <c r="B351" s="36" t="e">
        <f>VLOOKUP($C351,'Variable Information'!$A$1:$C$480,3,FALSE)</f>
        <v>#N/A</v>
      </c>
      <c r="C351" s="35"/>
      <c r="D351" s="30" t="s">
        <v>1456</v>
      </c>
      <c r="E351" s="15" t="s">
        <v>1563</v>
      </c>
    </row>
    <row r="352" spans="1:5" x14ac:dyDescent="0.25">
      <c r="A352" s="36" t="str">
        <f>VLOOKUP($C352,'Variable Information'!$A$2:$E$480,5,FALSE)</f>
        <v>AJP_G1_freq</v>
      </c>
      <c r="B352" s="36" t="str">
        <f>VLOOKUP($C352,'Variable Information'!$A$1:$C$480,3,FALSE)</f>
        <v>Q23_3_7_1. Frequency experienced - Issues obtaining or with an Irish visa or residence card renewal</v>
      </c>
      <c r="C352" s="35" t="s">
        <v>292</v>
      </c>
      <c r="D352" s="30" t="s">
        <v>1447</v>
      </c>
      <c r="E352" s="15" t="s">
        <v>1560</v>
      </c>
    </row>
    <row r="353" spans="1:5" x14ac:dyDescent="0.25">
      <c r="A353" s="36" t="e">
        <f>VLOOKUP($C353,'Variable Information'!$A$2:$E$480,5,FALSE)</f>
        <v>#N/A</v>
      </c>
      <c r="B353" s="36" t="e">
        <f>VLOOKUP($C353,'Variable Information'!$A$1:$C$480,3,FALSE)</f>
        <v>#N/A</v>
      </c>
      <c r="C353" s="35"/>
      <c r="D353" s="30" t="s">
        <v>1449</v>
      </c>
      <c r="E353" s="15" t="s">
        <v>1561</v>
      </c>
    </row>
    <row r="354" spans="1:5" x14ac:dyDescent="0.25">
      <c r="A354" s="36" t="e">
        <f>VLOOKUP($C354,'Variable Information'!$A$2:$E$480,5,FALSE)</f>
        <v>#N/A</v>
      </c>
      <c r="B354" s="36" t="e">
        <f>VLOOKUP($C354,'Variable Information'!$A$1:$C$480,3,FALSE)</f>
        <v>#N/A</v>
      </c>
      <c r="C354" s="35"/>
      <c r="D354" s="30" t="s">
        <v>1451</v>
      </c>
      <c r="E354" s="15" t="s">
        <v>1562</v>
      </c>
    </row>
    <row r="355" spans="1:5" x14ac:dyDescent="0.25">
      <c r="A355" s="36" t="e">
        <f>VLOOKUP($C355,'Variable Information'!$A$2:$E$480,5,FALSE)</f>
        <v>#N/A</v>
      </c>
      <c r="B355" s="36" t="e">
        <f>VLOOKUP($C355,'Variable Information'!$A$1:$C$480,3,FALSE)</f>
        <v>#N/A</v>
      </c>
      <c r="C355" s="35"/>
      <c r="D355" s="30" t="s">
        <v>1456</v>
      </c>
      <c r="E355" s="15" t="s">
        <v>1563</v>
      </c>
    </row>
    <row r="356" spans="1:5" x14ac:dyDescent="0.25">
      <c r="A356" s="36" t="str">
        <f>VLOOKUP($C356,'Variable Information'!$A$2:$E$480,5,FALSE)</f>
        <v>AJP_G2_freq</v>
      </c>
      <c r="B356" s="36" t="str">
        <f>VLOOKUP($C356,'Variable Information'!$A$1:$C$480,3,FALSE)</f>
        <v>Q23_3_7_2. Frequency experienced - Issues seeking international protection subsidiary protection or permission to remain</v>
      </c>
      <c r="C356" s="35" t="s">
        <v>295</v>
      </c>
      <c r="D356" s="30" t="s">
        <v>1447</v>
      </c>
      <c r="E356" s="15" t="s">
        <v>1560</v>
      </c>
    </row>
    <row r="357" spans="1:5" x14ac:dyDescent="0.25">
      <c r="A357" s="36" t="e">
        <f>VLOOKUP($C357,'Variable Information'!$A$2:$E$480,5,FALSE)</f>
        <v>#N/A</v>
      </c>
      <c r="B357" s="36" t="e">
        <f>VLOOKUP($C357,'Variable Information'!$A$1:$C$480,3,FALSE)</f>
        <v>#N/A</v>
      </c>
      <c r="C357" s="35"/>
      <c r="D357" s="30" t="s">
        <v>1449</v>
      </c>
      <c r="E357" s="15" t="s">
        <v>1561</v>
      </c>
    </row>
    <row r="358" spans="1:5" x14ac:dyDescent="0.25">
      <c r="A358" s="36" t="e">
        <f>VLOOKUP($C358,'Variable Information'!$A$2:$E$480,5,FALSE)</f>
        <v>#N/A</v>
      </c>
      <c r="B358" s="36" t="e">
        <f>VLOOKUP($C358,'Variable Information'!$A$1:$C$480,3,FALSE)</f>
        <v>#N/A</v>
      </c>
      <c r="C358" s="35"/>
      <c r="D358" s="30" t="s">
        <v>1451</v>
      </c>
      <c r="E358" s="15" t="s">
        <v>1562</v>
      </c>
    </row>
    <row r="359" spans="1:5" x14ac:dyDescent="0.25">
      <c r="A359" s="36" t="e">
        <f>VLOOKUP($C359,'Variable Information'!$A$2:$E$480,5,FALSE)</f>
        <v>#N/A</v>
      </c>
      <c r="B359" s="36" t="e">
        <f>VLOOKUP($C359,'Variable Information'!$A$1:$C$480,3,FALSE)</f>
        <v>#N/A</v>
      </c>
      <c r="C359" s="35"/>
      <c r="D359" s="30" t="s">
        <v>1456</v>
      </c>
      <c r="E359" s="15" t="s">
        <v>1563</v>
      </c>
    </row>
    <row r="360" spans="1:5" x14ac:dyDescent="0.25">
      <c r="A360" s="36" t="str">
        <f>VLOOKUP($C360,'Variable Information'!$A$2:$E$480,5,FALSE)</f>
        <v>AJP_G3_freq</v>
      </c>
      <c r="B360" s="36" t="str">
        <f>VLOOKUP($C360,'Variable Information'!$A$1:$C$480,3,FALSE)</f>
        <v>Q23_3_7_3. Frequency experienced - Issues with an overseas visa / EU residence / emigration</v>
      </c>
      <c r="C360" s="35" t="s">
        <v>298</v>
      </c>
      <c r="D360" s="30" t="s">
        <v>1447</v>
      </c>
      <c r="E360" s="15" t="s">
        <v>1560</v>
      </c>
    </row>
    <row r="361" spans="1:5" x14ac:dyDescent="0.25">
      <c r="A361" s="36" t="e">
        <f>VLOOKUP($C361,'Variable Information'!$A$2:$E$480,5,FALSE)</f>
        <v>#N/A</v>
      </c>
      <c r="B361" s="36" t="e">
        <f>VLOOKUP($C361,'Variable Information'!$A$1:$C$480,3,FALSE)</f>
        <v>#N/A</v>
      </c>
      <c r="C361" s="35"/>
      <c r="D361" s="30" t="s">
        <v>1449</v>
      </c>
      <c r="E361" s="15" t="s">
        <v>1561</v>
      </c>
    </row>
    <row r="362" spans="1:5" x14ac:dyDescent="0.25">
      <c r="A362" s="36" t="e">
        <f>VLOOKUP($C362,'Variable Information'!$A$2:$E$480,5,FALSE)</f>
        <v>#N/A</v>
      </c>
      <c r="B362" s="36" t="e">
        <f>VLOOKUP($C362,'Variable Information'!$A$1:$C$480,3,FALSE)</f>
        <v>#N/A</v>
      </c>
      <c r="C362" s="35"/>
      <c r="D362" s="30" t="s">
        <v>1451</v>
      </c>
      <c r="E362" s="15" t="s">
        <v>1562</v>
      </c>
    </row>
    <row r="363" spans="1:5" x14ac:dyDescent="0.25">
      <c r="A363" s="36" t="e">
        <f>VLOOKUP($C363,'Variable Information'!$A$2:$E$480,5,FALSE)</f>
        <v>#N/A</v>
      </c>
      <c r="B363" s="36" t="e">
        <f>VLOOKUP($C363,'Variable Information'!$A$1:$C$480,3,FALSE)</f>
        <v>#N/A</v>
      </c>
      <c r="C363" s="35"/>
      <c r="D363" s="30" t="s">
        <v>1456</v>
      </c>
      <c r="E363" s="15" t="s">
        <v>1563</v>
      </c>
    </row>
    <row r="364" spans="1:5" x14ac:dyDescent="0.25">
      <c r="A364" s="36" t="str">
        <f>VLOOKUP($C364,'Variable Information'!$A$2:$E$480,5,FALSE)</f>
        <v>AJP_G4_freq</v>
      </c>
      <c r="B364" s="36" t="str">
        <f>VLOOKUP($C364,'Variable Information'!$A$1:$C$480,3,FALSE)</f>
        <v>Q23_3_7_4. Frequency experienced - Issues applying for Irish naturalisation/citizenship</v>
      </c>
      <c r="C364" s="35" t="s">
        <v>301</v>
      </c>
      <c r="D364" s="30" t="s">
        <v>1447</v>
      </c>
      <c r="E364" s="15" t="s">
        <v>1560</v>
      </c>
    </row>
    <row r="365" spans="1:5" x14ac:dyDescent="0.25">
      <c r="A365" s="36" t="e">
        <f>VLOOKUP($C365,'Variable Information'!$A$2:$E$480,5,FALSE)</f>
        <v>#N/A</v>
      </c>
      <c r="B365" s="36" t="e">
        <f>VLOOKUP($C365,'Variable Information'!$A$1:$C$480,3,FALSE)</f>
        <v>#N/A</v>
      </c>
      <c r="C365" s="35"/>
      <c r="D365" s="30" t="s">
        <v>1449</v>
      </c>
      <c r="E365" s="15" t="s">
        <v>1561</v>
      </c>
    </row>
    <row r="366" spans="1:5" x14ac:dyDescent="0.25">
      <c r="A366" s="36" t="e">
        <f>VLOOKUP($C366,'Variable Information'!$A$2:$E$480,5,FALSE)</f>
        <v>#N/A</v>
      </c>
      <c r="B366" s="36" t="e">
        <f>VLOOKUP($C366,'Variable Information'!$A$1:$C$480,3,FALSE)</f>
        <v>#N/A</v>
      </c>
      <c r="C366" s="35"/>
      <c r="D366" s="30" t="s">
        <v>1451</v>
      </c>
      <c r="E366" s="15" t="s">
        <v>1562</v>
      </c>
    </row>
    <row r="367" spans="1:5" x14ac:dyDescent="0.25">
      <c r="A367" s="36" t="e">
        <f>VLOOKUP($C367,'Variable Information'!$A$2:$E$480,5,FALSE)</f>
        <v>#N/A</v>
      </c>
      <c r="B367" s="36" t="e">
        <f>VLOOKUP($C367,'Variable Information'!$A$1:$C$480,3,FALSE)</f>
        <v>#N/A</v>
      </c>
      <c r="C367" s="35"/>
      <c r="D367" s="30" t="s">
        <v>1456</v>
      </c>
      <c r="E367" s="15" t="s">
        <v>1563</v>
      </c>
    </row>
    <row r="368" spans="1:5" x14ac:dyDescent="0.25">
      <c r="A368" s="36" t="str">
        <f>VLOOKUP($C368,'Variable Information'!$A$2:$E$480,5,FALSE)</f>
        <v>AJP_G5_freq</v>
      </c>
      <c r="B368" s="36" t="str">
        <f>VLOOKUP($C368,'Variable Information'!$A$1:$C$480,3,FALSE)</f>
        <v>Q23_3_7_5. Frequency experienced - Other citizenship or migration related issue</v>
      </c>
      <c r="C368" s="35" t="s">
        <v>304</v>
      </c>
      <c r="D368" s="30" t="s">
        <v>1447</v>
      </c>
      <c r="E368" s="15" t="s">
        <v>1560</v>
      </c>
    </row>
    <row r="369" spans="1:5" x14ac:dyDescent="0.25">
      <c r="A369" s="36" t="e">
        <f>VLOOKUP($C369,'Variable Information'!$A$2:$E$480,5,FALSE)</f>
        <v>#N/A</v>
      </c>
      <c r="B369" s="36" t="e">
        <f>VLOOKUP($C369,'Variable Information'!$A$1:$C$480,3,FALSE)</f>
        <v>#N/A</v>
      </c>
      <c r="C369" s="35"/>
      <c r="D369" s="30" t="s">
        <v>1449</v>
      </c>
      <c r="E369" s="15" t="s">
        <v>1561</v>
      </c>
    </row>
    <row r="370" spans="1:5" x14ac:dyDescent="0.25">
      <c r="A370" s="36" t="e">
        <f>VLOOKUP($C370,'Variable Information'!$A$2:$E$480,5,FALSE)</f>
        <v>#N/A</v>
      </c>
      <c r="B370" s="36" t="e">
        <f>VLOOKUP($C370,'Variable Information'!$A$1:$C$480,3,FALSE)</f>
        <v>#N/A</v>
      </c>
      <c r="C370" s="35"/>
      <c r="D370" s="30" t="s">
        <v>1451</v>
      </c>
      <c r="E370" s="15" t="s">
        <v>1562</v>
      </c>
    </row>
    <row r="371" spans="1:5" x14ac:dyDescent="0.25">
      <c r="A371" s="36" t="e">
        <f>VLOOKUP($C371,'Variable Information'!$A$2:$E$480,5,FALSE)</f>
        <v>#N/A</v>
      </c>
      <c r="B371" s="36" t="e">
        <f>VLOOKUP($C371,'Variable Information'!$A$1:$C$480,3,FALSE)</f>
        <v>#N/A</v>
      </c>
      <c r="C371" s="35"/>
      <c r="D371" s="30" t="s">
        <v>1456</v>
      </c>
      <c r="E371" s="15" t="s">
        <v>1563</v>
      </c>
    </row>
    <row r="372" spans="1:5" x14ac:dyDescent="0.25">
      <c r="A372" s="36" t="str">
        <f>VLOOKUP($C372,'Variable Information'!$A$2:$E$480,5,FALSE)</f>
        <v>AJP_H1_freq</v>
      </c>
      <c r="B372" s="36" t="str">
        <f>VLOOKUP($C372,'Variable Information'!$A$1:$C$480,3,FALSE)</f>
        <v>Q23_3_8_1. Frequency experienced - A road traffic accident in which you were injured caused or made worse by someone else</v>
      </c>
      <c r="C372" s="35" t="s">
        <v>307</v>
      </c>
      <c r="D372" s="30" t="s">
        <v>1447</v>
      </c>
      <c r="E372" s="15" t="s">
        <v>1560</v>
      </c>
    </row>
    <row r="373" spans="1:5" x14ac:dyDescent="0.25">
      <c r="A373" s="36" t="e">
        <f>VLOOKUP($C373,'Variable Information'!$A$2:$E$480,5,FALSE)</f>
        <v>#N/A</v>
      </c>
      <c r="B373" s="36" t="e">
        <f>VLOOKUP($C373,'Variable Information'!$A$1:$C$480,3,FALSE)</f>
        <v>#N/A</v>
      </c>
      <c r="C373" s="35"/>
      <c r="D373" s="30" t="s">
        <v>1449</v>
      </c>
      <c r="E373" s="15" t="s">
        <v>1561</v>
      </c>
    </row>
    <row r="374" spans="1:5" x14ac:dyDescent="0.25">
      <c r="A374" s="36" t="e">
        <f>VLOOKUP($C374,'Variable Information'!$A$2:$E$480,5,FALSE)</f>
        <v>#N/A</v>
      </c>
      <c r="B374" s="36" t="e">
        <f>VLOOKUP($C374,'Variable Information'!$A$1:$C$480,3,FALSE)</f>
        <v>#N/A</v>
      </c>
      <c r="C374" s="35"/>
      <c r="D374" s="30" t="s">
        <v>1451</v>
      </c>
      <c r="E374" s="15" t="s">
        <v>1562</v>
      </c>
    </row>
    <row r="375" spans="1:5" x14ac:dyDescent="0.25">
      <c r="A375" s="36" t="e">
        <f>VLOOKUP($C375,'Variable Information'!$A$2:$E$480,5,FALSE)</f>
        <v>#N/A</v>
      </c>
      <c r="B375" s="36" t="e">
        <f>VLOOKUP($C375,'Variable Information'!$A$1:$C$480,3,FALSE)</f>
        <v>#N/A</v>
      </c>
      <c r="C375" s="35"/>
      <c r="D375" s="30" t="s">
        <v>1456</v>
      </c>
      <c r="E375" s="15" t="s">
        <v>1563</v>
      </c>
    </row>
    <row r="376" spans="1:5" x14ac:dyDescent="0.25">
      <c r="A376" s="36" t="str">
        <f>VLOOKUP($C376,'Variable Information'!$A$2:$E$480,5,FALSE)</f>
        <v>AJP_H2_freq</v>
      </c>
      <c r="B376" s="36" t="str">
        <f>VLOOKUP($C376,'Variable Information'!$A$1:$C$480,3,FALSE)</f>
        <v>Q23_3_8_2. Frequency experienced - A road traffic accident in which someone else was injured that you caused or made worse</v>
      </c>
      <c r="C376" s="35" t="s">
        <v>310</v>
      </c>
      <c r="D376" s="30" t="s">
        <v>1447</v>
      </c>
      <c r="E376" s="15" t="s">
        <v>1560</v>
      </c>
    </row>
    <row r="377" spans="1:5" x14ac:dyDescent="0.25">
      <c r="A377" s="36" t="e">
        <f>VLOOKUP($C377,'Variable Information'!$A$2:$E$480,5,FALSE)</f>
        <v>#N/A</v>
      </c>
      <c r="B377" s="36" t="e">
        <f>VLOOKUP($C377,'Variable Information'!$A$1:$C$480,3,FALSE)</f>
        <v>#N/A</v>
      </c>
      <c r="C377" s="35"/>
      <c r="D377" s="30" t="s">
        <v>1449</v>
      </c>
      <c r="E377" s="15" t="s">
        <v>1561</v>
      </c>
    </row>
    <row r="378" spans="1:5" x14ac:dyDescent="0.25">
      <c r="A378" s="36" t="e">
        <f>VLOOKUP($C378,'Variable Information'!$A$2:$E$480,5,FALSE)</f>
        <v>#N/A</v>
      </c>
      <c r="B378" s="36" t="e">
        <f>VLOOKUP($C378,'Variable Information'!$A$1:$C$480,3,FALSE)</f>
        <v>#N/A</v>
      </c>
      <c r="C378" s="35"/>
      <c r="D378" s="30" t="s">
        <v>1451</v>
      </c>
      <c r="E378" s="15" t="s">
        <v>1562</v>
      </c>
    </row>
    <row r="379" spans="1:5" x14ac:dyDescent="0.25">
      <c r="A379" s="36" t="e">
        <f>VLOOKUP($C379,'Variable Information'!$A$2:$E$480,5,FALSE)</f>
        <v>#N/A</v>
      </c>
      <c r="B379" s="36" t="e">
        <f>VLOOKUP($C379,'Variable Information'!$A$1:$C$480,3,FALSE)</f>
        <v>#N/A</v>
      </c>
      <c r="C379" s="35"/>
      <c r="D379" s="30" t="s">
        <v>1456</v>
      </c>
      <c r="E379" s="15" t="s">
        <v>1563</v>
      </c>
    </row>
    <row r="380" spans="1:5" x14ac:dyDescent="0.25">
      <c r="A380" s="36" t="str">
        <f>VLOOKUP($C380,'Variable Information'!$A$2:$E$480,5,FALSE)</f>
        <v>AJP_H3_freq</v>
      </c>
      <c r="B380" s="36" t="str">
        <f>VLOOKUP($C380,'Variable Information'!$A$1:$C$480,3,FALSE)</f>
        <v>Q23_3_8_3. Frequency experienced - Work-related accident</v>
      </c>
      <c r="C380" s="35" t="s">
        <v>313</v>
      </c>
      <c r="D380" s="30" t="s">
        <v>1447</v>
      </c>
      <c r="E380" s="15" t="s">
        <v>1560</v>
      </c>
    </row>
    <row r="381" spans="1:5" x14ac:dyDescent="0.25">
      <c r="A381" s="36" t="e">
        <f>VLOOKUP($C381,'Variable Information'!$A$2:$E$480,5,FALSE)</f>
        <v>#N/A</v>
      </c>
      <c r="B381" s="36" t="e">
        <f>VLOOKUP($C381,'Variable Information'!$A$1:$C$480,3,FALSE)</f>
        <v>#N/A</v>
      </c>
      <c r="C381" s="35"/>
      <c r="D381" s="30" t="s">
        <v>1449</v>
      </c>
      <c r="E381" s="15" t="s">
        <v>1561</v>
      </c>
    </row>
    <row r="382" spans="1:5" x14ac:dyDescent="0.25">
      <c r="A382" s="36" t="e">
        <f>VLOOKUP($C382,'Variable Information'!$A$2:$E$480,5,FALSE)</f>
        <v>#N/A</v>
      </c>
      <c r="B382" s="36" t="e">
        <f>VLOOKUP($C382,'Variable Information'!$A$1:$C$480,3,FALSE)</f>
        <v>#N/A</v>
      </c>
      <c r="C382" s="35"/>
      <c r="D382" s="30" t="s">
        <v>1451</v>
      </c>
      <c r="E382" s="15" t="s">
        <v>1562</v>
      </c>
    </row>
    <row r="383" spans="1:5" x14ac:dyDescent="0.25">
      <c r="A383" s="36" t="e">
        <f>VLOOKUP($C383,'Variable Information'!$A$2:$E$480,5,FALSE)</f>
        <v>#N/A</v>
      </c>
      <c r="B383" s="36" t="e">
        <f>VLOOKUP($C383,'Variable Information'!$A$1:$C$480,3,FALSE)</f>
        <v>#N/A</v>
      </c>
      <c r="C383" s="35"/>
      <c r="D383" s="30" t="s">
        <v>1456</v>
      </c>
      <c r="E383" s="15" t="s">
        <v>1563</v>
      </c>
    </row>
    <row r="384" spans="1:5" x14ac:dyDescent="0.25">
      <c r="A384" s="36" t="str">
        <f>VLOOKUP($C384,'Variable Information'!$A$2:$E$480,5,FALSE)</f>
        <v>AJP_H4_freq</v>
      </c>
      <c r="B384" s="36" t="str">
        <f>VLOOKUP($C384,'Variable Information'!$A$1:$C$480,3,FALSE)</f>
        <v>Q23_3_8_4. Frequency experienced - Wrong or negligent medical treatment</v>
      </c>
      <c r="C384" s="35" t="s">
        <v>316</v>
      </c>
      <c r="D384" s="30" t="s">
        <v>1447</v>
      </c>
      <c r="E384" s="15" t="s">
        <v>1560</v>
      </c>
    </row>
    <row r="385" spans="1:5" x14ac:dyDescent="0.25">
      <c r="A385" s="36" t="e">
        <f>VLOOKUP($C385,'Variable Information'!$A$2:$E$480,5,FALSE)</f>
        <v>#N/A</v>
      </c>
      <c r="B385" s="36" t="e">
        <f>VLOOKUP($C385,'Variable Information'!$A$1:$C$480,3,FALSE)</f>
        <v>#N/A</v>
      </c>
      <c r="C385" s="35"/>
      <c r="D385" s="30" t="s">
        <v>1449</v>
      </c>
      <c r="E385" s="15" t="s">
        <v>1561</v>
      </c>
    </row>
    <row r="386" spans="1:5" x14ac:dyDescent="0.25">
      <c r="A386" s="36" t="e">
        <f>VLOOKUP($C386,'Variable Information'!$A$2:$E$480,5,FALSE)</f>
        <v>#N/A</v>
      </c>
      <c r="B386" s="36" t="e">
        <f>VLOOKUP($C386,'Variable Information'!$A$1:$C$480,3,FALSE)</f>
        <v>#N/A</v>
      </c>
      <c r="C386" s="35"/>
      <c r="D386" s="30" t="s">
        <v>1451</v>
      </c>
      <c r="E386" s="15" t="s">
        <v>1562</v>
      </c>
    </row>
    <row r="387" spans="1:5" x14ac:dyDescent="0.25">
      <c r="A387" s="36" t="e">
        <f>VLOOKUP($C387,'Variable Information'!$A$2:$E$480,5,FALSE)</f>
        <v>#N/A</v>
      </c>
      <c r="B387" s="36" t="e">
        <f>VLOOKUP($C387,'Variable Information'!$A$1:$C$480,3,FALSE)</f>
        <v>#N/A</v>
      </c>
      <c r="C387" s="35"/>
      <c r="D387" s="30" t="s">
        <v>1456</v>
      </c>
      <c r="E387" s="15" t="s">
        <v>1563</v>
      </c>
    </row>
    <row r="388" spans="1:5" x14ac:dyDescent="0.25">
      <c r="A388" s="36" t="str">
        <f>VLOOKUP($C388,'Variable Information'!$A$2:$E$480,5,FALSE)</f>
        <v>AJP_H5_freq</v>
      </c>
      <c r="B388" s="36" t="str">
        <f>VLOOKUP($C388,'Variable Information'!$A$1:$C$480,3,FALSE)</f>
        <v>Q23_3_8_5. Frequency experienced - Other injury or illness caused or worsened by someone else</v>
      </c>
      <c r="C388" s="35" t="s">
        <v>319</v>
      </c>
      <c r="D388" s="30" t="s">
        <v>1447</v>
      </c>
      <c r="E388" s="15" t="s">
        <v>1560</v>
      </c>
    </row>
    <row r="389" spans="1:5" x14ac:dyDescent="0.25">
      <c r="A389" s="36" t="e">
        <f>VLOOKUP($C389,'Variable Information'!$A$2:$E$480,5,FALSE)</f>
        <v>#N/A</v>
      </c>
      <c r="B389" s="36" t="e">
        <f>VLOOKUP($C389,'Variable Information'!$A$1:$C$480,3,FALSE)</f>
        <v>#N/A</v>
      </c>
      <c r="C389" s="35"/>
      <c r="D389" s="30" t="s">
        <v>1449</v>
      </c>
      <c r="E389" s="15" t="s">
        <v>1561</v>
      </c>
    </row>
    <row r="390" spans="1:5" x14ac:dyDescent="0.25">
      <c r="A390" s="36" t="e">
        <f>VLOOKUP($C390,'Variable Information'!$A$2:$E$480,5,FALSE)</f>
        <v>#N/A</v>
      </c>
      <c r="B390" s="36" t="e">
        <f>VLOOKUP($C390,'Variable Information'!$A$1:$C$480,3,FALSE)</f>
        <v>#N/A</v>
      </c>
      <c r="C390" s="35"/>
      <c r="D390" s="30" t="s">
        <v>1451</v>
      </c>
      <c r="E390" s="15" t="s">
        <v>1562</v>
      </c>
    </row>
    <row r="391" spans="1:5" x14ac:dyDescent="0.25">
      <c r="A391" s="36" t="e">
        <f>VLOOKUP($C391,'Variable Information'!$A$2:$E$480,5,FALSE)</f>
        <v>#N/A</v>
      </c>
      <c r="B391" s="36" t="e">
        <f>VLOOKUP($C391,'Variable Information'!$A$1:$C$480,3,FALSE)</f>
        <v>#N/A</v>
      </c>
      <c r="C391" s="35"/>
      <c r="D391" s="30" t="s">
        <v>1456</v>
      </c>
      <c r="E391" s="15" t="s">
        <v>1563</v>
      </c>
    </row>
    <row r="392" spans="1:5" x14ac:dyDescent="0.25">
      <c r="A392" s="36" t="str">
        <f>VLOOKUP($C392,'Variable Information'!$A$2:$E$480,5,FALSE)</f>
        <v>AJP_I1_freq</v>
      </c>
      <c r="B392" s="36" t="str">
        <f>VLOOKUP($C392,'Variable Information'!$A$1:$C$480,3,FALSE)</f>
        <v>Q23_3_9_1. Frequency experienced - Issues with jobseekers benefit or jobseekers allowance</v>
      </c>
      <c r="C392" s="35" t="s">
        <v>322</v>
      </c>
      <c r="D392" s="30" t="s">
        <v>1447</v>
      </c>
      <c r="E392" s="15" t="s">
        <v>1560</v>
      </c>
    </row>
    <row r="393" spans="1:5" x14ac:dyDescent="0.25">
      <c r="A393" s="36" t="e">
        <f>VLOOKUP($C393,'Variable Information'!$A$2:$E$480,5,FALSE)</f>
        <v>#N/A</v>
      </c>
      <c r="B393" s="36" t="e">
        <f>VLOOKUP($C393,'Variable Information'!$A$1:$C$480,3,FALSE)</f>
        <v>#N/A</v>
      </c>
      <c r="C393" s="35"/>
      <c r="D393" s="30" t="s">
        <v>1449</v>
      </c>
      <c r="E393" s="15" t="s">
        <v>1561</v>
      </c>
    </row>
    <row r="394" spans="1:5" x14ac:dyDescent="0.25">
      <c r="A394" s="36" t="e">
        <f>VLOOKUP($C394,'Variable Information'!$A$2:$E$480,5,FALSE)</f>
        <v>#N/A</v>
      </c>
      <c r="B394" s="36" t="e">
        <f>VLOOKUP($C394,'Variable Information'!$A$1:$C$480,3,FALSE)</f>
        <v>#N/A</v>
      </c>
      <c r="C394" s="35"/>
      <c r="D394" s="30" t="s">
        <v>1451</v>
      </c>
      <c r="E394" s="15" t="s">
        <v>1562</v>
      </c>
    </row>
    <row r="395" spans="1:5" x14ac:dyDescent="0.25">
      <c r="A395" s="36" t="e">
        <f>VLOOKUP($C395,'Variable Information'!$A$2:$E$480,5,FALSE)</f>
        <v>#N/A</v>
      </c>
      <c r="B395" s="36" t="e">
        <f>VLOOKUP($C395,'Variable Information'!$A$1:$C$480,3,FALSE)</f>
        <v>#N/A</v>
      </c>
      <c r="C395" s="35"/>
      <c r="D395" s="30" t="s">
        <v>1456</v>
      </c>
      <c r="E395" s="15" t="s">
        <v>1563</v>
      </c>
    </row>
    <row r="396" spans="1:5" x14ac:dyDescent="0.25">
      <c r="A396" s="36" t="str">
        <f>VLOOKUP($C396,'Variable Information'!$A$2:$E$480,5,FALSE)</f>
        <v>AJP_I2_freq</v>
      </c>
      <c r="B396" s="36" t="str">
        <f>VLOOKUP($C396,'Variable Information'!$A$1:$C$480,3,FALSE)</f>
        <v>Q23_3_9_2. Frequency experienced - Issues related to maternity/parental government benefit</v>
      </c>
      <c r="C396" s="35" t="s">
        <v>325</v>
      </c>
      <c r="D396" s="30" t="s">
        <v>1447</v>
      </c>
      <c r="E396" s="15" t="s">
        <v>1560</v>
      </c>
    </row>
    <row r="397" spans="1:5" x14ac:dyDescent="0.25">
      <c r="A397" s="36" t="e">
        <f>VLOOKUP($C397,'Variable Information'!$A$2:$E$480,5,FALSE)</f>
        <v>#N/A</v>
      </c>
      <c r="B397" s="36" t="e">
        <f>VLOOKUP($C397,'Variable Information'!$A$1:$C$480,3,FALSE)</f>
        <v>#N/A</v>
      </c>
      <c r="C397" s="35"/>
      <c r="D397" s="30" t="s">
        <v>1449</v>
      </c>
      <c r="E397" s="15" t="s">
        <v>1561</v>
      </c>
    </row>
    <row r="398" spans="1:5" x14ac:dyDescent="0.25">
      <c r="A398" s="36" t="e">
        <f>VLOOKUP($C398,'Variable Information'!$A$2:$E$480,5,FALSE)</f>
        <v>#N/A</v>
      </c>
      <c r="B398" s="36" t="e">
        <f>VLOOKUP($C398,'Variable Information'!$A$1:$C$480,3,FALSE)</f>
        <v>#N/A</v>
      </c>
      <c r="C398" s="35"/>
      <c r="D398" s="30" t="s">
        <v>1451</v>
      </c>
      <c r="E398" s="15" t="s">
        <v>1562</v>
      </c>
    </row>
    <row r="399" spans="1:5" x14ac:dyDescent="0.25">
      <c r="A399" s="36" t="e">
        <f>VLOOKUP($C399,'Variable Information'!$A$2:$E$480,5,FALSE)</f>
        <v>#N/A</v>
      </c>
      <c r="B399" s="36" t="e">
        <f>VLOOKUP($C399,'Variable Information'!$A$1:$C$480,3,FALSE)</f>
        <v>#N/A</v>
      </c>
      <c r="C399" s="35"/>
      <c r="D399" s="30" t="s">
        <v>1456</v>
      </c>
      <c r="E399" s="15" t="s">
        <v>1563</v>
      </c>
    </row>
    <row r="400" spans="1:5" x14ac:dyDescent="0.25">
      <c r="A400" s="36" t="str">
        <f>VLOOKUP($C400,'Variable Information'!$A$2:$E$480,5,FALSE)</f>
        <v>AJP_I3_freq</v>
      </c>
      <c r="B400" s="36" t="str">
        <f>VLOOKUP($C400,'Variable Information'!$A$1:$C$480,3,FALSE)</f>
        <v>Q23_3_9_3. Frequency experienced - Issues related to the State pension</v>
      </c>
      <c r="C400" s="35" t="s">
        <v>328</v>
      </c>
      <c r="D400" s="30" t="s">
        <v>1447</v>
      </c>
      <c r="E400" s="15" t="s">
        <v>1560</v>
      </c>
    </row>
    <row r="401" spans="1:5" x14ac:dyDescent="0.25">
      <c r="A401" s="36" t="e">
        <f>VLOOKUP($C401,'Variable Information'!$A$2:$E$480,5,FALSE)</f>
        <v>#N/A</v>
      </c>
      <c r="B401" s="36" t="e">
        <f>VLOOKUP($C401,'Variable Information'!$A$1:$C$480,3,FALSE)</f>
        <v>#N/A</v>
      </c>
      <c r="C401" s="35"/>
      <c r="D401" s="30" t="s">
        <v>1449</v>
      </c>
      <c r="E401" s="15" t="s">
        <v>1561</v>
      </c>
    </row>
    <row r="402" spans="1:5" x14ac:dyDescent="0.25">
      <c r="A402" s="36" t="e">
        <f>VLOOKUP($C402,'Variable Information'!$A$2:$E$480,5,FALSE)</f>
        <v>#N/A</v>
      </c>
      <c r="B402" s="36" t="e">
        <f>VLOOKUP($C402,'Variable Information'!$A$1:$C$480,3,FALSE)</f>
        <v>#N/A</v>
      </c>
      <c r="C402" s="35"/>
      <c r="D402" s="30" t="s">
        <v>1451</v>
      </c>
      <c r="E402" s="15" t="s">
        <v>1562</v>
      </c>
    </row>
    <row r="403" spans="1:5" x14ac:dyDescent="0.25">
      <c r="A403" s="36" t="e">
        <f>VLOOKUP($C403,'Variable Information'!$A$2:$E$480,5,FALSE)</f>
        <v>#N/A</v>
      </c>
      <c r="B403" s="36" t="e">
        <f>VLOOKUP($C403,'Variable Information'!$A$1:$C$480,3,FALSE)</f>
        <v>#N/A</v>
      </c>
      <c r="C403" s="35"/>
      <c r="D403" s="30" t="s">
        <v>1456</v>
      </c>
      <c r="E403" s="15" t="s">
        <v>1563</v>
      </c>
    </row>
    <row r="404" spans="1:5" x14ac:dyDescent="0.25">
      <c r="A404" s="36" t="str">
        <f>VLOOKUP($C404,'Variable Information'!$A$2:$E$480,5,FALSE)</f>
        <v>AJP_I4_freq</v>
      </c>
      <c r="B404" s="36" t="str">
        <f>VLOOKUP($C404,'Variable Information'!$A$1:$C$480,3,FALSE)</f>
        <v>Q23_3_9_4. Frequency experienced - Issues with education-related grants (e.g. student grant scheme)</v>
      </c>
      <c r="C404" s="35" t="s">
        <v>331</v>
      </c>
      <c r="D404" s="30" t="s">
        <v>1447</v>
      </c>
      <c r="E404" s="15" t="s">
        <v>1560</v>
      </c>
    </row>
    <row r="405" spans="1:5" x14ac:dyDescent="0.25">
      <c r="A405" s="36" t="e">
        <f>VLOOKUP($C405,'Variable Information'!$A$2:$E$480,5,FALSE)</f>
        <v>#N/A</v>
      </c>
      <c r="B405" s="36" t="e">
        <f>VLOOKUP($C405,'Variable Information'!$A$1:$C$480,3,FALSE)</f>
        <v>#N/A</v>
      </c>
      <c r="C405" s="35"/>
      <c r="D405" s="30" t="s">
        <v>1449</v>
      </c>
      <c r="E405" s="15" t="s">
        <v>1561</v>
      </c>
    </row>
    <row r="406" spans="1:5" x14ac:dyDescent="0.25">
      <c r="A406" s="36" t="e">
        <f>VLOOKUP($C406,'Variable Information'!$A$2:$E$480,5,FALSE)</f>
        <v>#N/A</v>
      </c>
      <c r="B406" s="36" t="e">
        <f>VLOOKUP($C406,'Variable Information'!$A$1:$C$480,3,FALSE)</f>
        <v>#N/A</v>
      </c>
      <c r="C406" s="35"/>
      <c r="D406" s="30" t="s">
        <v>1451</v>
      </c>
      <c r="E406" s="15" t="s">
        <v>1562</v>
      </c>
    </row>
    <row r="407" spans="1:5" x14ac:dyDescent="0.25">
      <c r="A407" s="36" t="e">
        <f>VLOOKUP($C407,'Variable Information'!$A$2:$E$480,5,FALSE)</f>
        <v>#N/A</v>
      </c>
      <c r="B407" s="36" t="e">
        <f>VLOOKUP($C407,'Variable Information'!$A$1:$C$480,3,FALSE)</f>
        <v>#N/A</v>
      </c>
      <c r="C407" s="35"/>
      <c r="D407" s="30" t="s">
        <v>1456</v>
      </c>
      <c r="E407" s="15" t="s">
        <v>1563</v>
      </c>
    </row>
    <row r="408" spans="1:5" x14ac:dyDescent="0.25">
      <c r="A408" s="36" t="str">
        <f>VLOOKUP($C408,'Variable Information'!$A$2:$E$480,5,FALSE)</f>
        <v>AJP_I5_freq</v>
      </c>
      <c r="B408" s="36" t="str">
        <f>VLOOKUP($C408,'Variable Information'!$A$1:$C$480,3,FALSE)</f>
        <v>Q23_3_9_5. Frequency experienced - Issues with Disability Allowance</v>
      </c>
      <c r="C408" s="35" t="s">
        <v>334</v>
      </c>
      <c r="D408" s="30" t="s">
        <v>1447</v>
      </c>
      <c r="E408" s="15" t="s">
        <v>1560</v>
      </c>
    </row>
    <row r="409" spans="1:5" x14ac:dyDescent="0.25">
      <c r="A409" s="36" t="e">
        <f>VLOOKUP($C409,'Variable Information'!$A$2:$E$480,5,FALSE)</f>
        <v>#N/A</v>
      </c>
      <c r="B409" s="36" t="e">
        <f>VLOOKUP($C409,'Variable Information'!$A$1:$C$480,3,FALSE)</f>
        <v>#N/A</v>
      </c>
      <c r="C409" s="35"/>
      <c r="D409" s="30" t="s">
        <v>1449</v>
      </c>
      <c r="E409" s="15" t="s">
        <v>1561</v>
      </c>
    </row>
    <row r="410" spans="1:5" x14ac:dyDescent="0.25">
      <c r="A410" s="36" t="e">
        <f>VLOOKUP($C410,'Variable Information'!$A$2:$E$480,5,FALSE)</f>
        <v>#N/A</v>
      </c>
      <c r="B410" s="36" t="e">
        <f>VLOOKUP($C410,'Variable Information'!$A$1:$C$480,3,FALSE)</f>
        <v>#N/A</v>
      </c>
      <c r="C410" s="35"/>
      <c r="D410" s="30" t="s">
        <v>1451</v>
      </c>
      <c r="E410" s="15" t="s">
        <v>1562</v>
      </c>
    </row>
    <row r="411" spans="1:5" x14ac:dyDescent="0.25">
      <c r="A411" s="36" t="e">
        <f>VLOOKUP($C411,'Variable Information'!$A$2:$E$480,5,FALSE)</f>
        <v>#N/A</v>
      </c>
      <c r="B411" s="36" t="e">
        <f>VLOOKUP($C411,'Variable Information'!$A$1:$C$480,3,FALSE)</f>
        <v>#N/A</v>
      </c>
      <c r="C411" s="35"/>
      <c r="D411" s="30" t="s">
        <v>1456</v>
      </c>
      <c r="E411" s="15" t="s">
        <v>1563</v>
      </c>
    </row>
    <row r="412" spans="1:5" x14ac:dyDescent="0.25">
      <c r="A412" s="36" t="str">
        <f>VLOOKUP($C412,'Variable Information'!$A$2:$E$480,5,FALSE)</f>
        <v>AJP_I6_freq</v>
      </c>
      <c r="B412" s="36" t="str">
        <f>VLOOKUP($C412,'Variable Information'!$A$1:$C$480,3,FALSE)</f>
        <v>Q23_3_9_6. Frequency experienced - Other government benefit/payment issues</v>
      </c>
      <c r="C412" s="35" t="s">
        <v>337</v>
      </c>
      <c r="D412" s="30" t="s">
        <v>1447</v>
      </c>
      <c r="E412" s="15" t="s">
        <v>1560</v>
      </c>
    </row>
    <row r="413" spans="1:5" x14ac:dyDescent="0.25">
      <c r="A413" s="36" t="e">
        <f>VLOOKUP($C413,'Variable Information'!$A$2:$E$480,5,FALSE)</f>
        <v>#N/A</v>
      </c>
      <c r="B413" s="36" t="e">
        <f>VLOOKUP($C413,'Variable Information'!$A$1:$C$480,3,FALSE)</f>
        <v>#N/A</v>
      </c>
      <c r="C413" s="35"/>
      <c r="D413" s="30" t="s">
        <v>1449</v>
      </c>
      <c r="E413" s="15" t="s">
        <v>1561</v>
      </c>
    </row>
    <row r="414" spans="1:5" x14ac:dyDescent="0.25">
      <c r="A414" s="36" t="e">
        <f>VLOOKUP($C414,'Variable Information'!$A$2:$E$480,5,FALSE)</f>
        <v>#N/A</v>
      </c>
      <c r="B414" s="36" t="e">
        <f>VLOOKUP($C414,'Variable Information'!$A$1:$C$480,3,FALSE)</f>
        <v>#N/A</v>
      </c>
      <c r="C414" s="35"/>
      <c r="D414" s="30" t="s">
        <v>1451</v>
      </c>
      <c r="E414" s="15" t="s">
        <v>1562</v>
      </c>
    </row>
    <row r="415" spans="1:5" x14ac:dyDescent="0.25">
      <c r="A415" s="36" t="e">
        <f>VLOOKUP($C415,'Variable Information'!$A$2:$E$480,5,FALSE)</f>
        <v>#N/A</v>
      </c>
      <c r="B415" s="36" t="e">
        <f>VLOOKUP($C415,'Variable Information'!$A$1:$C$480,3,FALSE)</f>
        <v>#N/A</v>
      </c>
      <c r="C415" s="35"/>
      <c r="D415" s="30" t="s">
        <v>1456</v>
      </c>
      <c r="E415" s="15" t="s">
        <v>1563</v>
      </c>
    </row>
    <row r="416" spans="1:5" x14ac:dyDescent="0.25">
      <c r="A416" s="36" t="str">
        <f>VLOOKUP($C416,'Variable Information'!$A$2:$E$480,5,FALSE)</f>
        <v>AJP_J1_freq</v>
      </c>
      <c r="B416" s="36" t="str">
        <f>VLOOKUP($C416,'Variable Information'!$A$1:$C$480,3,FALSE)</f>
        <v>Q23_3_10_1. Frequency experienced - Issues obtaining an Irish Passport other ID licences or other official documents</v>
      </c>
      <c r="C416" s="35" t="s">
        <v>340</v>
      </c>
      <c r="D416" s="30" t="s">
        <v>1447</v>
      </c>
      <c r="E416" s="15" t="s">
        <v>1560</v>
      </c>
    </row>
    <row r="417" spans="1:5" x14ac:dyDescent="0.25">
      <c r="A417" s="36" t="e">
        <f>VLOOKUP($C417,'Variable Information'!$A$2:$E$480,5,FALSE)</f>
        <v>#N/A</v>
      </c>
      <c r="B417" s="36" t="e">
        <f>VLOOKUP($C417,'Variable Information'!$A$1:$C$480,3,FALSE)</f>
        <v>#N/A</v>
      </c>
      <c r="C417" s="35"/>
      <c r="D417" s="30" t="s">
        <v>1449</v>
      </c>
      <c r="E417" s="15" t="s">
        <v>1561</v>
      </c>
    </row>
    <row r="418" spans="1:5" x14ac:dyDescent="0.25">
      <c r="A418" s="36" t="e">
        <f>VLOOKUP($C418,'Variable Information'!$A$2:$E$480,5,FALSE)</f>
        <v>#N/A</v>
      </c>
      <c r="B418" s="36" t="e">
        <f>VLOOKUP($C418,'Variable Information'!$A$1:$C$480,3,FALSE)</f>
        <v>#N/A</v>
      </c>
      <c r="C418" s="35"/>
      <c r="D418" s="30" t="s">
        <v>1451</v>
      </c>
      <c r="E418" s="15" t="s">
        <v>1562</v>
      </c>
    </row>
    <row r="419" spans="1:5" x14ac:dyDescent="0.25">
      <c r="A419" s="36" t="e">
        <f>VLOOKUP($C419,'Variable Information'!$A$2:$E$480,5,FALSE)</f>
        <v>#N/A</v>
      </c>
      <c r="B419" s="36" t="e">
        <f>VLOOKUP($C419,'Variable Information'!$A$1:$C$480,3,FALSE)</f>
        <v>#N/A</v>
      </c>
      <c r="C419" s="35"/>
      <c r="D419" s="30" t="s">
        <v>1456</v>
      </c>
      <c r="E419" s="15" t="s">
        <v>1563</v>
      </c>
    </row>
    <row r="420" spans="1:5" x14ac:dyDescent="0.25">
      <c r="A420" s="36" t="str">
        <f>VLOOKUP($C420,'Variable Information'!$A$2:$E$480,5,FALSE)</f>
        <v>AJP_J2_freq</v>
      </c>
      <c r="B420" s="36" t="str">
        <f>VLOOKUP($C420,'Variable Information'!$A$1:$C$480,3,FALSE)</f>
        <v>Q23_3_10_2. Frequency experienced - Issues with obtaining healthcare or disability services</v>
      </c>
      <c r="C420" s="35" t="s">
        <v>343</v>
      </c>
      <c r="D420" s="30" t="s">
        <v>1447</v>
      </c>
      <c r="E420" s="15" t="s">
        <v>1560</v>
      </c>
    </row>
    <row r="421" spans="1:5" x14ac:dyDescent="0.25">
      <c r="A421" s="36" t="e">
        <f>VLOOKUP($C421,'Variable Information'!$A$2:$E$480,5,FALSE)</f>
        <v>#N/A</v>
      </c>
      <c r="B421" s="36" t="e">
        <f>VLOOKUP($C421,'Variable Information'!$A$1:$C$480,3,FALSE)</f>
        <v>#N/A</v>
      </c>
      <c r="C421" s="35"/>
      <c r="D421" s="30" t="s">
        <v>1449</v>
      </c>
      <c r="E421" s="15" t="s">
        <v>1561</v>
      </c>
    </row>
    <row r="422" spans="1:5" x14ac:dyDescent="0.25">
      <c r="A422" s="36" t="e">
        <f>VLOOKUP($C422,'Variable Information'!$A$2:$E$480,5,FALSE)</f>
        <v>#N/A</v>
      </c>
      <c r="B422" s="36" t="e">
        <f>VLOOKUP($C422,'Variable Information'!$A$1:$C$480,3,FALSE)</f>
        <v>#N/A</v>
      </c>
      <c r="C422" s="35"/>
      <c r="D422" s="30" t="s">
        <v>1451</v>
      </c>
      <c r="E422" s="15" t="s">
        <v>1562</v>
      </c>
    </row>
    <row r="423" spans="1:5" x14ac:dyDescent="0.25">
      <c r="A423" s="36" t="e">
        <f>VLOOKUP($C423,'Variable Information'!$A$2:$E$480,5,FALSE)</f>
        <v>#N/A</v>
      </c>
      <c r="B423" s="36" t="e">
        <f>VLOOKUP($C423,'Variable Information'!$A$1:$C$480,3,FALSE)</f>
        <v>#N/A</v>
      </c>
      <c r="C423" s="35"/>
      <c r="D423" s="30" t="s">
        <v>1456</v>
      </c>
      <c r="E423" s="15" t="s">
        <v>1563</v>
      </c>
    </row>
    <row r="424" spans="1:5" x14ac:dyDescent="0.25">
      <c r="A424" s="36" t="str">
        <f>VLOOKUP($C424,'Variable Information'!$A$2:$E$480,5,FALSE)</f>
        <v>AJP_J3_freq</v>
      </c>
      <c r="B424" s="36" t="str">
        <f>VLOOKUP($C424,'Variable Information'!$A$1:$C$480,3,FALSE)</f>
        <v>Q23_3_10_3. Frequency experienced - Issues with obtaining government/social housing (excluding issues experienced as a tenant)</v>
      </c>
      <c r="C424" s="35" t="s">
        <v>346</v>
      </c>
      <c r="D424" s="30" t="s">
        <v>1447</v>
      </c>
      <c r="E424" s="15" t="s">
        <v>1560</v>
      </c>
    </row>
    <row r="425" spans="1:5" x14ac:dyDescent="0.25">
      <c r="A425" s="36" t="e">
        <f>VLOOKUP($C425,'Variable Information'!$A$2:$E$480,5,FALSE)</f>
        <v>#N/A</v>
      </c>
      <c r="B425" s="36" t="e">
        <f>VLOOKUP($C425,'Variable Information'!$A$1:$C$480,3,FALSE)</f>
        <v>#N/A</v>
      </c>
      <c r="C425" s="35"/>
      <c r="D425" s="30" t="s">
        <v>1449</v>
      </c>
      <c r="E425" s="15" t="s">
        <v>1561</v>
      </c>
    </row>
    <row r="426" spans="1:5" x14ac:dyDescent="0.25">
      <c r="A426" s="36" t="e">
        <f>VLOOKUP($C426,'Variable Information'!$A$2:$E$480,5,FALSE)</f>
        <v>#N/A</v>
      </c>
      <c r="B426" s="36" t="e">
        <f>VLOOKUP($C426,'Variable Information'!$A$1:$C$480,3,FALSE)</f>
        <v>#N/A</v>
      </c>
      <c r="C426" s="35"/>
      <c r="D426" s="30" t="s">
        <v>1451</v>
      </c>
      <c r="E426" s="15" t="s">
        <v>1562</v>
      </c>
    </row>
    <row r="427" spans="1:5" x14ac:dyDescent="0.25">
      <c r="A427" s="36" t="e">
        <f>VLOOKUP($C427,'Variable Information'!$A$2:$E$480,5,FALSE)</f>
        <v>#N/A</v>
      </c>
      <c r="B427" s="36" t="e">
        <f>VLOOKUP($C427,'Variable Information'!$A$1:$C$480,3,FALSE)</f>
        <v>#N/A</v>
      </c>
      <c r="C427" s="35"/>
      <c r="D427" s="30" t="s">
        <v>1456</v>
      </c>
      <c r="E427" s="15" t="s">
        <v>1563</v>
      </c>
    </row>
    <row r="428" spans="1:5" x14ac:dyDescent="0.25">
      <c r="A428" s="36" t="str">
        <f>VLOOKUP($C428,'Variable Information'!$A$2:$E$480,5,FALSE)</f>
        <v>AJP_J4_freq</v>
      </c>
      <c r="B428" s="36" t="str">
        <f>VLOOKUP($C428,'Variable Information'!$A$1:$C$480,3,FALSE)</f>
        <v>Q23_3_10_4. Frequency experienced - Issues with obtaining education</v>
      </c>
      <c r="C428" s="35" t="s">
        <v>349</v>
      </c>
      <c r="D428" s="30" t="s">
        <v>1447</v>
      </c>
      <c r="E428" s="15" t="s">
        <v>1560</v>
      </c>
    </row>
    <row r="429" spans="1:5" x14ac:dyDescent="0.25">
      <c r="A429" s="36" t="e">
        <f>VLOOKUP($C429,'Variable Information'!$A$2:$E$480,5,FALSE)</f>
        <v>#N/A</v>
      </c>
      <c r="B429" s="36" t="e">
        <f>VLOOKUP($C429,'Variable Information'!$A$1:$C$480,3,FALSE)</f>
        <v>#N/A</v>
      </c>
      <c r="C429" s="35"/>
      <c r="D429" s="30" t="s">
        <v>1449</v>
      </c>
      <c r="E429" s="15" t="s">
        <v>1561</v>
      </c>
    </row>
    <row r="430" spans="1:5" x14ac:dyDescent="0.25">
      <c r="A430" s="36" t="e">
        <f>VLOOKUP($C430,'Variable Information'!$A$2:$E$480,5,FALSE)</f>
        <v>#N/A</v>
      </c>
      <c r="B430" s="36" t="e">
        <f>VLOOKUP($C430,'Variable Information'!$A$1:$C$480,3,FALSE)</f>
        <v>#N/A</v>
      </c>
      <c r="C430" s="35"/>
      <c r="D430" s="30" t="s">
        <v>1451</v>
      </c>
      <c r="E430" s="15" t="s">
        <v>1562</v>
      </c>
    </row>
    <row r="431" spans="1:5" x14ac:dyDescent="0.25">
      <c r="A431" s="36" t="e">
        <f>VLOOKUP($C431,'Variable Information'!$A$2:$E$480,5,FALSE)</f>
        <v>#N/A</v>
      </c>
      <c r="B431" s="36" t="e">
        <f>VLOOKUP($C431,'Variable Information'!$A$1:$C$480,3,FALSE)</f>
        <v>#N/A</v>
      </c>
      <c r="C431" s="35"/>
      <c r="D431" s="30" t="s">
        <v>1456</v>
      </c>
      <c r="E431" s="15" t="s">
        <v>1563</v>
      </c>
    </row>
    <row r="432" spans="1:5" x14ac:dyDescent="0.25">
      <c r="A432" s="36" t="str">
        <f>VLOOKUP($C432,'Variable Information'!$A$2:$E$480,5,FALSE)</f>
        <v>AJP_K1_freq</v>
      </c>
      <c r="B432" s="36" t="str">
        <f>VLOOKUP($C432,'Variable Information'!$A$1:$C$480,3,FALSE)</f>
        <v>Q23_3_11_1. Frequency experienced - Product/purchases not delivered or significantly delayed</v>
      </c>
      <c r="C432" s="35" t="s">
        <v>352</v>
      </c>
      <c r="D432" s="30" t="s">
        <v>1447</v>
      </c>
      <c r="E432" s="15" t="s">
        <v>1560</v>
      </c>
    </row>
    <row r="433" spans="1:5" x14ac:dyDescent="0.25">
      <c r="A433" s="36" t="e">
        <f>VLOOKUP($C433,'Variable Information'!$A$2:$E$480,5,FALSE)</f>
        <v>#N/A</v>
      </c>
      <c r="B433" s="36" t="e">
        <f>VLOOKUP($C433,'Variable Information'!$A$1:$C$480,3,FALSE)</f>
        <v>#N/A</v>
      </c>
      <c r="C433" s="35"/>
      <c r="D433" s="30" t="s">
        <v>1449</v>
      </c>
      <c r="E433" s="15" t="s">
        <v>1561</v>
      </c>
    </row>
    <row r="434" spans="1:5" x14ac:dyDescent="0.25">
      <c r="A434" s="36" t="e">
        <f>VLOOKUP($C434,'Variable Information'!$A$2:$E$480,5,FALSE)</f>
        <v>#N/A</v>
      </c>
      <c r="B434" s="36" t="e">
        <f>VLOOKUP($C434,'Variable Information'!$A$1:$C$480,3,FALSE)</f>
        <v>#N/A</v>
      </c>
      <c r="C434" s="35"/>
      <c r="D434" s="30" t="s">
        <v>1451</v>
      </c>
      <c r="E434" s="15" t="s">
        <v>1562</v>
      </c>
    </row>
    <row r="435" spans="1:5" x14ac:dyDescent="0.25">
      <c r="A435" s="36" t="e">
        <f>VLOOKUP($C435,'Variable Information'!$A$2:$E$480,5,FALSE)</f>
        <v>#N/A</v>
      </c>
      <c r="B435" s="36" t="e">
        <f>VLOOKUP($C435,'Variable Information'!$A$1:$C$480,3,FALSE)</f>
        <v>#N/A</v>
      </c>
      <c r="C435" s="35"/>
      <c r="D435" s="30" t="s">
        <v>1456</v>
      </c>
      <c r="E435" s="15" t="s">
        <v>1563</v>
      </c>
    </row>
    <row r="436" spans="1:5" x14ac:dyDescent="0.25">
      <c r="A436" s="36" t="str">
        <f>VLOOKUP($C436,'Variable Information'!$A$2:$E$480,5,FALSE)</f>
        <v>AJP_K2_freq</v>
      </c>
      <c r="B436" s="36" t="str">
        <f>VLOOKUP($C436,'Variable Information'!$A$1:$C$480,3,FALSE)</f>
        <v>Q23_3_11_2. Frequency experienced - Difficulty getting refunds repairs or replacements for products that were faulty damaged or not as described</v>
      </c>
      <c r="C436" s="35" t="s">
        <v>355</v>
      </c>
      <c r="D436" s="30" t="s">
        <v>1447</v>
      </c>
      <c r="E436" s="15" t="s">
        <v>1560</v>
      </c>
    </row>
    <row r="437" spans="1:5" x14ac:dyDescent="0.25">
      <c r="A437" s="36" t="e">
        <f>VLOOKUP($C437,'Variable Information'!$A$2:$E$480,5,FALSE)</f>
        <v>#N/A</v>
      </c>
      <c r="B437" s="36" t="e">
        <f>VLOOKUP($C437,'Variable Information'!$A$1:$C$480,3,FALSE)</f>
        <v>#N/A</v>
      </c>
      <c r="C437" s="35"/>
      <c r="D437" s="30" t="s">
        <v>1449</v>
      </c>
      <c r="E437" s="15" t="s">
        <v>1561</v>
      </c>
    </row>
    <row r="438" spans="1:5" x14ac:dyDescent="0.25">
      <c r="A438" s="36" t="e">
        <f>VLOOKUP($C438,'Variable Information'!$A$2:$E$480,5,FALSE)</f>
        <v>#N/A</v>
      </c>
      <c r="B438" s="36" t="e">
        <f>VLOOKUP($C438,'Variable Information'!$A$1:$C$480,3,FALSE)</f>
        <v>#N/A</v>
      </c>
      <c r="C438" s="35"/>
      <c r="D438" s="30" t="s">
        <v>1451</v>
      </c>
      <c r="E438" s="15" t="s">
        <v>1562</v>
      </c>
    </row>
    <row r="439" spans="1:5" x14ac:dyDescent="0.25">
      <c r="A439" s="36" t="e">
        <f>VLOOKUP($C439,'Variable Information'!$A$2:$E$480,5,FALSE)</f>
        <v>#N/A</v>
      </c>
      <c r="B439" s="36" t="e">
        <f>VLOOKUP($C439,'Variable Information'!$A$1:$C$480,3,FALSE)</f>
        <v>#N/A</v>
      </c>
      <c r="C439" s="35"/>
      <c r="D439" s="30" t="s">
        <v>1456</v>
      </c>
      <c r="E439" s="15" t="s">
        <v>1563</v>
      </c>
    </row>
    <row r="440" spans="1:5" x14ac:dyDescent="0.25">
      <c r="A440" s="36" t="str">
        <f>VLOOKUP($C440,'Variable Information'!$A$2:$E$480,5,FALSE)</f>
        <v>AJP_L1_freq</v>
      </c>
      <c r="B440" s="36" t="str">
        <f>VLOOKUP($C440,'Variable Information'!$A$1:$C$480,3,FALSE)</f>
        <v>Q23_3_12_1. Frequency experienced - Issues with over-charging or hidden or unexpected fees</v>
      </c>
      <c r="C440" s="35" t="s">
        <v>358</v>
      </c>
      <c r="D440" s="30" t="s">
        <v>1447</v>
      </c>
      <c r="E440" s="15" t="s">
        <v>1560</v>
      </c>
    </row>
    <row r="441" spans="1:5" x14ac:dyDescent="0.25">
      <c r="A441" s="36" t="e">
        <f>VLOOKUP($C441,'Variable Information'!$A$2:$E$480,5,FALSE)</f>
        <v>#N/A</v>
      </c>
      <c r="B441" s="36" t="e">
        <f>VLOOKUP($C441,'Variable Information'!$A$1:$C$480,3,FALSE)</f>
        <v>#N/A</v>
      </c>
      <c r="C441" s="35"/>
      <c r="D441" s="30" t="s">
        <v>1449</v>
      </c>
      <c r="E441" s="15" t="s">
        <v>1561</v>
      </c>
    </row>
    <row r="442" spans="1:5" x14ac:dyDescent="0.25">
      <c r="A442" s="36" t="e">
        <f>VLOOKUP($C442,'Variable Information'!$A$2:$E$480,5,FALSE)</f>
        <v>#N/A</v>
      </c>
      <c r="B442" s="36" t="e">
        <f>VLOOKUP($C442,'Variable Information'!$A$1:$C$480,3,FALSE)</f>
        <v>#N/A</v>
      </c>
      <c r="C442" s="35"/>
      <c r="D442" s="30" t="s">
        <v>1451</v>
      </c>
      <c r="E442" s="15" t="s">
        <v>1562</v>
      </c>
    </row>
    <row r="443" spans="1:5" x14ac:dyDescent="0.25">
      <c r="A443" s="36" t="e">
        <f>VLOOKUP($C443,'Variable Information'!$A$2:$E$480,5,FALSE)</f>
        <v>#N/A</v>
      </c>
      <c r="B443" s="36" t="e">
        <f>VLOOKUP($C443,'Variable Information'!$A$1:$C$480,3,FALSE)</f>
        <v>#N/A</v>
      </c>
      <c r="C443" s="35"/>
      <c r="D443" s="30" t="s">
        <v>1456</v>
      </c>
      <c r="E443" s="15" t="s">
        <v>1563</v>
      </c>
    </row>
    <row r="444" spans="1:5" x14ac:dyDescent="0.25">
      <c r="A444" s="36" t="str">
        <f>VLOOKUP($C444,'Variable Information'!$A$2:$E$480,5,FALSE)</f>
        <v>AJP_L2_freq</v>
      </c>
      <c r="B444" s="36" t="str">
        <f>VLOOKUP($C444,'Variable Information'!$A$1:$C$480,3,FALSE)</f>
        <v>Q23_3_12_2. Frequency experienced - Issues with quality of services or other service-related disputes</v>
      </c>
      <c r="C444" s="35" t="s">
        <v>361</v>
      </c>
      <c r="D444" s="30" t="s">
        <v>1447</v>
      </c>
      <c r="E444" s="15" t="s">
        <v>1560</v>
      </c>
    </row>
    <row r="445" spans="1:5" x14ac:dyDescent="0.25">
      <c r="A445" s="36" t="e">
        <f>VLOOKUP($C445,'Variable Information'!$A$2:$E$480,5,FALSE)</f>
        <v>#N/A</v>
      </c>
      <c r="B445" s="36" t="e">
        <f>VLOOKUP($C445,'Variable Information'!$A$1:$C$480,3,FALSE)</f>
        <v>#N/A</v>
      </c>
      <c r="C445" s="35"/>
      <c r="D445" s="30" t="s">
        <v>1449</v>
      </c>
      <c r="E445" s="15" t="s">
        <v>1561</v>
      </c>
    </row>
    <row r="446" spans="1:5" x14ac:dyDescent="0.25">
      <c r="A446" s="36" t="e">
        <f>VLOOKUP($C446,'Variable Information'!$A$2:$E$480,5,FALSE)</f>
        <v>#N/A</v>
      </c>
      <c r="B446" s="36" t="e">
        <f>VLOOKUP($C446,'Variable Information'!$A$1:$C$480,3,FALSE)</f>
        <v>#N/A</v>
      </c>
      <c r="C446" s="35"/>
      <c r="D446" s="30" t="s">
        <v>1451</v>
      </c>
      <c r="E446" s="15" t="s">
        <v>1562</v>
      </c>
    </row>
    <row r="447" spans="1:5" x14ac:dyDescent="0.25">
      <c r="A447" s="36" t="e">
        <f>VLOOKUP($C447,'Variable Information'!$A$2:$E$480,5,FALSE)</f>
        <v>#N/A</v>
      </c>
      <c r="B447" s="36" t="e">
        <f>VLOOKUP($C447,'Variable Information'!$A$1:$C$480,3,FALSE)</f>
        <v>#N/A</v>
      </c>
      <c r="C447" s="35"/>
      <c r="D447" s="30" t="s">
        <v>1456</v>
      </c>
      <c r="E447" s="15" t="s">
        <v>1563</v>
      </c>
    </row>
    <row r="448" spans="1:5" x14ac:dyDescent="0.25">
      <c r="A448" s="36" t="str">
        <f>VLOOKUP($C448,'Variable Information'!$A$2:$E$480,5,FALSE)</f>
        <v>AJP_M1_freq</v>
      </c>
      <c r="B448" s="36" t="str">
        <f>VLOOKUP($C448,'Variable Information'!$A$1:$C$480,3,FALSE)</f>
        <v>Q23_3_13_1. Frequency experienced - Unable to pay bills/loans/debts including buy-now-pay-later (excluding mortgage and rental payments)</v>
      </c>
      <c r="C448" s="35" t="s">
        <v>364</v>
      </c>
      <c r="D448" s="30" t="s">
        <v>1447</v>
      </c>
      <c r="E448" s="15" t="s">
        <v>1560</v>
      </c>
    </row>
    <row r="449" spans="1:5" x14ac:dyDescent="0.25">
      <c r="A449" s="36" t="e">
        <f>VLOOKUP($C449,'Variable Information'!$A$2:$E$480,5,FALSE)</f>
        <v>#N/A</v>
      </c>
      <c r="B449" s="36" t="e">
        <f>VLOOKUP($C449,'Variable Information'!$A$1:$C$480,3,FALSE)</f>
        <v>#N/A</v>
      </c>
      <c r="C449" s="35"/>
      <c r="D449" s="30" t="s">
        <v>1449</v>
      </c>
      <c r="E449" s="15" t="s">
        <v>1561</v>
      </c>
    </row>
    <row r="450" spans="1:5" x14ac:dyDescent="0.25">
      <c r="A450" s="36" t="e">
        <f>VLOOKUP($C450,'Variable Information'!$A$2:$E$480,5,FALSE)</f>
        <v>#N/A</v>
      </c>
      <c r="B450" s="36" t="e">
        <f>VLOOKUP($C450,'Variable Information'!$A$1:$C$480,3,FALSE)</f>
        <v>#N/A</v>
      </c>
      <c r="C450" s="35"/>
      <c r="D450" s="30" t="s">
        <v>1451</v>
      </c>
      <c r="E450" s="15" t="s">
        <v>1562</v>
      </c>
    </row>
    <row r="451" spans="1:5" x14ac:dyDescent="0.25">
      <c r="A451" s="36" t="e">
        <f>VLOOKUP($C451,'Variable Information'!$A$2:$E$480,5,FALSE)</f>
        <v>#N/A</v>
      </c>
      <c r="B451" s="36" t="e">
        <f>VLOOKUP($C451,'Variable Information'!$A$1:$C$480,3,FALSE)</f>
        <v>#N/A</v>
      </c>
      <c r="C451" s="35"/>
      <c r="D451" s="30" t="s">
        <v>1456</v>
      </c>
      <c r="E451" s="15" t="s">
        <v>1563</v>
      </c>
    </row>
    <row r="452" spans="1:5" x14ac:dyDescent="0.25">
      <c r="A452" s="36" t="str">
        <f>VLOOKUP($C452,'Variable Information'!$A$2:$E$480,5,FALSE)</f>
        <v>AJP_M2_freq</v>
      </c>
      <c r="B452" s="36" t="str">
        <f>VLOOKUP($C452,'Variable Information'!$A$1:$C$480,3,FALSE)</f>
        <v>Q23_3_13_2. Frequency experienced - Disputes about insurance coverage/claim</v>
      </c>
      <c r="C452" s="35" t="s">
        <v>367</v>
      </c>
      <c r="D452" s="30" t="s">
        <v>1447</v>
      </c>
      <c r="E452" s="15" t="s">
        <v>1560</v>
      </c>
    </row>
    <row r="453" spans="1:5" x14ac:dyDescent="0.25">
      <c r="A453" s="36" t="e">
        <f>VLOOKUP($C453,'Variable Information'!$A$2:$E$480,5,FALSE)</f>
        <v>#N/A</v>
      </c>
      <c r="B453" s="36" t="e">
        <f>VLOOKUP($C453,'Variable Information'!$A$1:$C$480,3,FALSE)</f>
        <v>#N/A</v>
      </c>
      <c r="C453" s="35"/>
      <c r="D453" s="30" t="s">
        <v>1449</v>
      </c>
      <c r="E453" s="15" t="s">
        <v>1561</v>
      </c>
    </row>
    <row r="454" spans="1:5" x14ac:dyDescent="0.25">
      <c r="A454" s="36" t="e">
        <f>VLOOKUP($C454,'Variable Information'!$A$2:$E$480,5,FALSE)</f>
        <v>#N/A</v>
      </c>
      <c r="B454" s="36" t="e">
        <f>VLOOKUP($C454,'Variable Information'!$A$1:$C$480,3,FALSE)</f>
        <v>#N/A</v>
      </c>
      <c r="C454" s="35"/>
      <c r="D454" s="30" t="s">
        <v>1451</v>
      </c>
      <c r="E454" s="15" t="s">
        <v>1562</v>
      </c>
    </row>
    <row r="455" spans="1:5" x14ac:dyDescent="0.25">
      <c r="A455" s="36" t="e">
        <f>VLOOKUP($C455,'Variable Information'!$A$2:$E$480,5,FALSE)</f>
        <v>#N/A</v>
      </c>
      <c r="B455" s="36" t="e">
        <f>VLOOKUP($C455,'Variable Information'!$A$1:$C$480,3,FALSE)</f>
        <v>#N/A</v>
      </c>
      <c r="C455" s="35"/>
      <c r="D455" s="30" t="s">
        <v>1456</v>
      </c>
      <c r="E455" s="15" t="s">
        <v>1563</v>
      </c>
    </row>
    <row r="456" spans="1:5" x14ac:dyDescent="0.25">
      <c r="A456" s="36" t="str">
        <f>VLOOKUP($C456,'Variable Information'!$A$2:$E$480,5,FALSE)</f>
        <v>AJP_M3_freq</v>
      </c>
      <c r="B456" s="36" t="str">
        <f>VLOOKUP($C456,'Variable Information'!$A$1:$C$480,3,FALSE)</f>
        <v>Q23_3_13_3. Frequency experienced - Disputes with the bank or other financial institutions including refusal of credit/loan/mortgage</v>
      </c>
      <c r="C456" s="35" t="s">
        <v>370</v>
      </c>
      <c r="D456" s="30" t="s">
        <v>1447</v>
      </c>
      <c r="E456" s="15" t="s">
        <v>1560</v>
      </c>
    </row>
    <row r="457" spans="1:5" x14ac:dyDescent="0.25">
      <c r="A457" s="36" t="e">
        <f>VLOOKUP($C457,'Variable Information'!$A$2:$E$480,5,FALSE)</f>
        <v>#N/A</v>
      </c>
      <c r="B457" s="36" t="e">
        <f>VLOOKUP($C457,'Variable Information'!$A$1:$C$480,3,FALSE)</f>
        <v>#N/A</v>
      </c>
      <c r="C457" s="35"/>
      <c r="D457" s="30" t="s">
        <v>1449</v>
      </c>
      <c r="E457" s="15" t="s">
        <v>1561</v>
      </c>
    </row>
    <row r="458" spans="1:5" x14ac:dyDescent="0.25">
      <c r="A458" s="36" t="e">
        <f>VLOOKUP($C458,'Variable Information'!$A$2:$E$480,5,FALSE)</f>
        <v>#N/A</v>
      </c>
      <c r="B458" s="36" t="e">
        <f>VLOOKUP($C458,'Variable Information'!$A$1:$C$480,3,FALSE)</f>
        <v>#N/A</v>
      </c>
      <c r="C458" s="35"/>
      <c r="D458" s="30" t="s">
        <v>1451</v>
      </c>
      <c r="E458" s="15" t="s">
        <v>1562</v>
      </c>
    </row>
    <row r="459" spans="1:5" x14ac:dyDescent="0.25">
      <c r="A459" s="36" t="e">
        <f>VLOOKUP($C459,'Variable Information'!$A$2:$E$480,5,FALSE)</f>
        <v>#N/A</v>
      </c>
      <c r="B459" s="36" t="e">
        <f>VLOOKUP($C459,'Variable Information'!$A$1:$C$480,3,FALSE)</f>
        <v>#N/A</v>
      </c>
      <c r="C459" s="35"/>
      <c r="D459" s="30" t="s">
        <v>1456</v>
      </c>
      <c r="E459" s="15" t="s">
        <v>1563</v>
      </c>
    </row>
    <row r="460" spans="1:5" x14ac:dyDescent="0.25">
      <c r="A460" s="36" t="str">
        <f>VLOOKUP($C460,'Variable Information'!$A$2:$E$480,5,FALSE)</f>
        <v>AJP_M4_freq</v>
      </c>
      <c r="B460" s="36" t="str">
        <f>VLOOKUP($C460,'Variable Information'!$A$1:$C$480,3,FALSE)</f>
        <v>Q23_3_13_4. Frequency experienced - Disputes about tax assessments/payments/refunds</v>
      </c>
      <c r="C460" s="35" t="s">
        <v>373</v>
      </c>
      <c r="D460" s="30" t="s">
        <v>1447</v>
      </c>
      <c r="E460" s="15" t="s">
        <v>1560</v>
      </c>
    </row>
    <row r="461" spans="1:5" x14ac:dyDescent="0.25">
      <c r="A461" s="36" t="e">
        <f>VLOOKUP($C461,'Variable Information'!$A$2:$E$480,5,FALSE)</f>
        <v>#N/A</v>
      </c>
      <c r="B461" s="36" t="e">
        <f>VLOOKUP($C461,'Variable Information'!$A$1:$C$480,3,FALSE)</f>
        <v>#N/A</v>
      </c>
      <c r="C461" s="35"/>
      <c r="D461" s="30" t="s">
        <v>1449</v>
      </c>
      <c r="E461" s="15" t="s">
        <v>1561</v>
      </c>
    </row>
    <row r="462" spans="1:5" x14ac:dyDescent="0.25">
      <c r="A462" s="36" t="e">
        <f>VLOOKUP($C462,'Variable Information'!$A$2:$E$480,5,FALSE)</f>
        <v>#N/A</v>
      </c>
      <c r="B462" s="36" t="e">
        <f>VLOOKUP($C462,'Variable Information'!$A$1:$C$480,3,FALSE)</f>
        <v>#N/A</v>
      </c>
      <c r="C462" s="35"/>
      <c r="D462" s="30" t="s">
        <v>1451</v>
      </c>
      <c r="E462" s="15" t="s">
        <v>1562</v>
      </c>
    </row>
    <row r="463" spans="1:5" x14ac:dyDescent="0.25">
      <c r="A463" s="36" t="e">
        <f>VLOOKUP($C463,'Variable Information'!$A$2:$E$480,5,FALSE)</f>
        <v>#N/A</v>
      </c>
      <c r="B463" s="36" t="e">
        <f>VLOOKUP($C463,'Variable Information'!$A$1:$C$480,3,FALSE)</f>
        <v>#N/A</v>
      </c>
      <c r="C463" s="35"/>
      <c r="D463" s="30" t="s">
        <v>1456</v>
      </c>
      <c r="E463" s="15" t="s">
        <v>1563</v>
      </c>
    </row>
    <row r="464" spans="1:5" x14ac:dyDescent="0.25">
      <c r="A464" s="36" t="str">
        <f>VLOOKUP($C464,'Variable Information'!$A$2:$E$480,5,FALSE)</f>
        <v>AJP_M5_freq</v>
      </c>
      <c r="B464" s="36" t="str">
        <f>VLOOKUP($C464,'Variable Information'!$A$1:$C$480,3,FALSE)</f>
        <v>Q23_3_13_5. Frequency experienced - Difficulties getting someone to pay money they owe you (other than as a landlord)</v>
      </c>
      <c r="C464" s="35" t="s">
        <v>376</v>
      </c>
      <c r="D464" s="30" t="s">
        <v>1447</v>
      </c>
      <c r="E464" s="15" t="s">
        <v>1560</v>
      </c>
    </row>
    <row r="465" spans="1:5" x14ac:dyDescent="0.25">
      <c r="A465" s="36" t="e">
        <f>VLOOKUP($C465,'Variable Information'!$A$2:$E$480,5,FALSE)</f>
        <v>#N/A</v>
      </c>
      <c r="B465" s="36" t="e">
        <f>VLOOKUP($C465,'Variable Information'!$A$1:$C$480,3,FALSE)</f>
        <v>#N/A</v>
      </c>
      <c r="C465" s="35"/>
      <c r="D465" s="30" t="s">
        <v>1449</v>
      </c>
      <c r="E465" s="15" t="s">
        <v>1561</v>
      </c>
    </row>
    <row r="466" spans="1:5" x14ac:dyDescent="0.25">
      <c r="A466" s="36" t="e">
        <f>VLOOKUP($C466,'Variable Information'!$A$2:$E$480,5,FALSE)</f>
        <v>#N/A</v>
      </c>
      <c r="B466" s="36" t="e">
        <f>VLOOKUP($C466,'Variable Information'!$A$1:$C$480,3,FALSE)</f>
        <v>#N/A</v>
      </c>
      <c r="C466" s="35"/>
      <c r="D466" s="30" t="s">
        <v>1451</v>
      </c>
      <c r="E466" s="15" t="s">
        <v>1562</v>
      </c>
    </row>
    <row r="467" spans="1:5" x14ac:dyDescent="0.25">
      <c r="A467" s="36" t="e">
        <f>VLOOKUP($C467,'Variable Information'!$A$2:$E$480,5,FALSE)</f>
        <v>#N/A</v>
      </c>
      <c r="B467" s="36" t="e">
        <f>VLOOKUP($C467,'Variable Information'!$A$1:$C$480,3,FALSE)</f>
        <v>#N/A</v>
      </c>
      <c r="C467" s="35"/>
      <c r="D467" s="30" t="s">
        <v>1456</v>
      </c>
      <c r="E467" s="15" t="s">
        <v>1563</v>
      </c>
    </row>
    <row r="468" spans="1:5" x14ac:dyDescent="0.25">
      <c r="A468" s="36" t="str">
        <f>VLOOKUP($C468,'Variable Information'!$A$2:$E$480,5,FALSE)</f>
        <v>AJP_N1_freq</v>
      </c>
      <c r="B468" s="36" t="str">
        <f>VLOOKUP($C468,'Variable Information'!$A$1:$C$480,3,FALSE)</f>
        <v>Q23_3_14_1. Frequency experienced - Loss of a job or issues with pay/wages or other benefits</v>
      </c>
      <c r="C468" s="35" t="s">
        <v>379</v>
      </c>
      <c r="D468" s="30" t="s">
        <v>1447</v>
      </c>
      <c r="E468" s="15" t="s">
        <v>1560</v>
      </c>
    </row>
    <row r="469" spans="1:5" x14ac:dyDescent="0.25">
      <c r="A469" s="36" t="e">
        <f>VLOOKUP($C469,'Variable Information'!$A$2:$E$480,5,FALSE)</f>
        <v>#N/A</v>
      </c>
      <c r="B469" s="36" t="e">
        <f>VLOOKUP($C469,'Variable Information'!$A$1:$C$480,3,FALSE)</f>
        <v>#N/A</v>
      </c>
      <c r="C469" s="35"/>
      <c r="D469" s="30" t="s">
        <v>1449</v>
      </c>
      <c r="E469" s="15" t="s">
        <v>1561</v>
      </c>
    </row>
    <row r="470" spans="1:5" x14ac:dyDescent="0.25">
      <c r="A470" s="36" t="e">
        <f>VLOOKUP($C470,'Variable Information'!$A$2:$E$480,5,FALSE)</f>
        <v>#N/A</v>
      </c>
      <c r="B470" s="36" t="e">
        <f>VLOOKUP($C470,'Variable Information'!$A$1:$C$480,3,FALSE)</f>
        <v>#N/A</v>
      </c>
      <c r="C470" s="35"/>
      <c r="D470" s="30" t="s">
        <v>1451</v>
      </c>
      <c r="E470" s="15" t="s">
        <v>1562</v>
      </c>
    </row>
    <row r="471" spans="1:5" x14ac:dyDescent="0.25">
      <c r="A471" s="36" t="e">
        <f>VLOOKUP($C471,'Variable Information'!$A$2:$E$480,5,FALSE)</f>
        <v>#N/A</v>
      </c>
      <c r="B471" s="36" t="e">
        <f>VLOOKUP($C471,'Variable Information'!$A$1:$C$480,3,FALSE)</f>
        <v>#N/A</v>
      </c>
      <c r="C471" s="35"/>
      <c r="D471" s="30" t="s">
        <v>1456</v>
      </c>
      <c r="E471" s="15" t="s">
        <v>1563</v>
      </c>
    </row>
    <row r="472" spans="1:5" x14ac:dyDescent="0.25">
      <c r="A472" s="36" t="str">
        <f>VLOOKUP($C472,'Variable Information'!$A$2:$E$480,5,FALSE)</f>
        <v>AJP_N2_freq</v>
      </c>
      <c r="B472" s="36" t="str">
        <f>VLOOKUP($C472,'Variable Information'!$A$1:$C$480,3,FALSE)</f>
        <v>Q23_3_14_2. Frequency experienced - Exposure to health and safety risks</v>
      </c>
      <c r="C472" s="35" t="s">
        <v>382</v>
      </c>
      <c r="D472" s="30" t="s">
        <v>1447</v>
      </c>
      <c r="E472" s="15" t="s">
        <v>1560</v>
      </c>
    </row>
    <row r="473" spans="1:5" x14ac:dyDescent="0.25">
      <c r="A473" s="36" t="e">
        <f>VLOOKUP($C473,'Variable Information'!$A$2:$E$480,5,FALSE)</f>
        <v>#N/A</v>
      </c>
      <c r="B473" s="36" t="e">
        <f>VLOOKUP($C473,'Variable Information'!$A$1:$C$480,3,FALSE)</f>
        <v>#N/A</v>
      </c>
      <c r="C473" s="35"/>
      <c r="D473" s="30" t="s">
        <v>1449</v>
      </c>
      <c r="E473" s="15" t="s">
        <v>1561</v>
      </c>
    </row>
    <row r="474" spans="1:5" x14ac:dyDescent="0.25">
      <c r="A474" s="36" t="e">
        <f>VLOOKUP($C474,'Variable Information'!$A$2:$E$480,5,FALSE)</f>
        <v>#N/A</v>
      </c>
      <c r="B474" s="36" t="e">
        <f>VLOOKUP($C474,'Variable Information'!$A$1:$C$480,3,FALSE)</f>
        <v>#N/A</v>
      </c>
      <c r="C474" s="35"/>
      <c r="D474" s="30" t="s">
        <v>1451</v>
      </c>
      <c r="E474" s="15" t="s">
        <v>1562</v>
      </c>
    </row>
    <row r="475" spans="1:5" x14ac:dyDescent="0.25">
      <c r="A475" s="36" t="e">
        <f>VLOOKUP($C475,'Variable Information'!$A$2:$E$480,5,FALSE)</f>
        <v>#N/A</v>
      </c>
      <c r="B475" s="36" t="e">
        <f>VLOOKUP($C475,'Variable Information'!$A$1:$C$480,3,FALSE)</f>
        <v>#N/A</v>
      </c>
      <c r="C475" s="35"/>
      <c r="D475" s="30" t="s">
        <v>1456</v>
      </c>
      <c r="E475" s="15" t="s">
        <v>1563</v>
      </c>
    </row>
    <row r="476" spans="1:5" x14ac:dyDescent="0.25">
      <c r="A476" s="36" t="str">
        <f>VLOOKUP($C476,'Variable Information'!$A$2:$E$480,5,FALSE)</f>
        <v>AJP_N3_freq</v>
      </c>
      <c r="B476" s="36" t="str">
        <f>VLOOKUP($C476,'Variable Information'!$A$1:$C$480,3,FALSE)</f>
        <v>Q23_3_14_3. Frequency experienced - Conflicts with employer or other employees including discrimination and harassment</v>
      </c>
      <c r="C476" s="35" t="s">
        <v>385</v>
      </c>
      <c r="D476" s="30" t="s">
        <v>1447</v>
      </c>
      <c r="E476" s="15" t="s">
        <v>1560</v>
      </c>
    </row>
    <row r="477" spans="1:5" x14ac:dyDescent="0.25">
      <c r="A477" s="36" t="e">
        <f>VLOOKUP($C477,'Variable Information'!$A$2:$E$480,5,FALSE)</f>
        <v>#N/A</v>
      </c>
      <c r="B477" s="36" t="e">
        <f>VLOOKUP($C477,'Variable Information'!$A$1:$C$480,3,FALSE)</f>
        <v>#N/A</v>
      </c>
      <c r="C477" s="35"/>
      <c r="D477" s="30" t="s">
        <v>1449</v>
      </c>
      <c r="E477" s="15" t="s">
        <v>1561</v>
      </c>
    </row>
    <row r="478" spans="1:5" x14ac:dyDescent="0.25">
      <c r="A478" s="36" t="e">
        <f>VLOOKUP($C478,'Variable Information'!$A$2:$E$480,5,FALSE)</f>
        <v>#N/A</v>
      </c>
      <c r="B478" s="36" t="e">
        <f>VLOOKUP($C478,'Variable Information'!$A$1:$C$480,3,FALSE)</f>
        <v>#N/A</v>
      </c>
      <c r="C478" s="35"/>
      <c r="D478" s="30" t="s">
        <v>1451</v>
      </c>
      <c r="E478" s="15" t="s">
        <v>1562</v>
      </c>
    </row>
    <row r="479" spans="1:5" x14ac:dyDescent="0.25">
      <c r="A479" s="36" t="e">
        <f>VLOOKUP($C479,'Variable Information'!$A$2:$E$480,5,FALSE)</f>
        <v>#N/A</v>
      </c>
      <c r="B479" s="36" t="e">
        <f>VLOOKUP($C479,'Variable Information'!$A$1:$C$480,3,FALSE)</f>
        <v>#N/A</v>
      </c>
      <c r="C479" s="35"/>
      <c r="D479" s="30" t="s">
        <v>1456</v>
      </c>
      <c r="E479" s="15" t="s">
        <v>1563</v>
      </c>
    </row>
    <row r="480" spans="1:5" x14ac:dyDescent="0.25">
      <c r="A480" s="36" t="str">
        <f>VLOOKUP($C480,'Variable Information'!$A$2:$E$480,5,FALSE)</f>
        <v>AJP_N4_freq</v>
      </c>
      <c r="B480" s="36" t="str">
        <f>VLOOKUP($C480,'Variable Information'!$A$1:$C$480,3,FALSE)</f>
        <v>Q23_3_14_4. Frequency experienced - Other employment-related disputes</v>
      </c>
      <c r="C480" s="35" t="s">
        <v>388</v>
      </c>
      <c r="D480" s="30" t="s">
        <v>1447</v>
      </c>
      <c r="E480" s="15" t="s">
        <v>1560</v>
      </c>
    </row>
    <row r="481" spans="1:5" x14ac:dyDescent="0.25">
      <c r="A481" s="36" t="e">
        <f>VLOOKUP($C481,'Variable Information'!$A$2:$E$480,5,FALSE)</f>
        <v>#N/A</v>
      </c>
      <c r="B481" s="36" t="e">
        <f>VLOOKUP($C481,'Variable Information'!$A$1:$C$480,3,FALSE)</f>
        <v>#N/A</v>
      </c>
      <c r="C481" s="35"/>
      <c r="D481" s="30" t="s">
        <v>1449</v>
      </c>
      <c r="E481" s="15" t="s">
        <v>1561</v>
      </c>
    </row>
    <row r="482" spans="1:5" x14ac:dyDescent="0.25">
      <c r="A482" s="36" t="e">
        <f>VLOOKUP($C482,'Variable Information'!$A$2:$E$480,5,FALSE)</f>
        <v>#N/A</v>
      </c>
      <c r="B482" s="36" t="e">
        <f>VLOOKUP($C482,'Variable Information'!$A$1:$C$480,3,FALSE)</f>
        <v>#N/A</v>
      </c>
      <c r="C482" s="35"/>
      <c r="D482" s="30" t="s">
        <v>1451</v>
      </c>
      <c r="E482" s="15" t="s">
        <v>1562</v>
      </c>
    </row>
    <row r="483" spans="1:5" x14ac:dyDescent="0.25">
      <c r="A483" s="36" t="e">
        <f>VLOOKUP($C483,'Variable Information'!$A$2:$E$480,5,FALSE)</f>
        <v>#N/A</v>
      </c>
      <c r="B483" s="36" t="e">
        <f>VLOOKUP($C483,'Variable Information'!$A$1:$C$480,3,FALSE)</f>
        <v>#N/A</v>
      </c>
      <c r="C483" s="35"/>
      <c r="D483" s="30" t="s">
        <v>1456</v>
      </c>
      <c r="E483" s="15" t="s">
        <v>1563</v>
      </c>
    </row>
    <row r="484" spans="1:5" x14ac:dyDescent="0.25">
      <c r="A484" s="36" t="str">
        <f>VLOOKUP($C484,'Variable Information'!$A$2:$E$480,5,FALSE)</f>
        <v>AJP_cat_selected</v>
      </c>
      <c r="B484" s="36" t="str">
        <f>VLOOKUP($C484,'Variable Information'!$A$1:$C$480,3,FALSE)</f>
        <v>Q23_2. Categorization Selected</v>
      </c>
      <c r="C484" s="35" t="s">
        <v>391</v>
      </c>
      <c r="D484" s="30" t="s">
        <v>1447</v>
      </c>
      <c r="E484" s="15" t="s">
        <v>1564</v>
      </c>
    </row>
    <row r="485" spans="1:5" x14ac:dyDescent="0.25">
      <c r="A485" s="36" t="e">
        <f>VLOOKUP($C485,'Variable Information'!$A$2:$E$480,5,FALSE)</f>
        <v>#N/A</v>
      </c>
      <c r="B485" s="36" t="e">
        <f>VLOOKUP($C485,'Variable Information'!$A$1:$C$480,3,FALSE)</f>
        <v>#N/A</v>
      </c>
      <c r="C485" s="35"/>
      <c r="D485" s="30" t="s">
        <v>1449</v>
      </c>
      <c r="E485" s="15" t="s">
        <v>1565</v>
      </c>
    </row>
    <row r="486" spans="1:5" x14ac:dyDescent="0.25">
      <c r="A486" s="36" t="e">
        <f>VLOOKUP($C486,'Variable Information'!$A$2:$E$480,5,FALSE)</f>
        <v>#N/A</v>
      </c>
      <c r="B486" s="36" t="e">
        <f>VLOOKUP($C486,'Variable Information'!$A$1:$C$480,3,FALSE)</f>
        <v>#N/A</v>
      </c>
      <c r="C486" s="35"/>
      <c r="D486" s="30" t="s">
        <v>1451</v>
      </c>
      <c r="E486" s="15" t="s">
        <v>1566</v>
      </c>
    </row>
    <row r="487" spans="1:5" x14ac:dyDescent="0.25">
      <c r="A487" s="36" t="e">
        <f>VLOOKUP($C487,'Variable Information'!$A$2:$E$480,5,FALSE)</f>
        <v>#N/A</v>
      </c>
      <c r="B487" s="36" t="e">
        <f>VLOOKUP($C487,'Variable Information'!$A$1:$C$480,3,FALSE)</f>
        <v>#N/A</v>
      </c>
      <c r="C487" s="35"/>
      <c r="D487" s="30" t="s">
        <v>1456</v>
      </c>
      <c r="E487" s="15" t="s">
        <v>1567</v>
      </c>
    </row>
    <row r="488" spans="1:5" x14ac:dyDescent="0.25">
      <c r="A488" s="36" t="e">
        <f>VLOOKUP($C488,'Variable Information'!$A$2:$E$480,5,FALSE)</f>
        <v>#N/A</v>
      </c>
      <c r="B488" s="36" t="e">
        <f>VLOOKUP($C488,'Variable Information'!$A$1:$C$480,3,FALSE)</f>
        <v>#N/A</v>
      </c>
      <c r="C488" s="35"/>
      <c r="D488" s="30" t="s">
        <v>1458</v>
      </c>
      <c r="E488" s="15" t="s">
        <v>1568</v>
      </c>
    </row>
    <row r="489" spans="1:5" x14ac:dyDescent="0.25">
      <c r="A489" s="36" t="e">
        <f>VLOOKUP($C489,'Variable Information'!$A$2:$E$480,5,FALSE)</f>
        <v>#N/A</v>
      </c>
      <c r="B489" s="36" t="e">
        <f>VLOOKUP($C489,'Variable Information'!$A$1:$C$480,3,FALSE)</f>
        <v>#N/A</v>
      </c>
      <c r="C489" s="35"/>
      <c r="D489" s="30" t="s">
        <v>1460</v>
      </c>
      <c r="E489" s="15" t="s">
        <v>1569</v>
      </c>
    </row>
    <row r="490" spans="1:5" x14ac:dyDescent="0.25">
      <c r="A490" s="36" t="e">
        <f>VLOOKUP($C490,'Variable Information'!$A$2:$E$480,5,FALSE)</f>
        <v>#N/A</v>
      </c>
      <c r="B490" s="36" t="e">
        <f>VLOOKUP($C490,'Variable Information'!$A$1:$C$480,3,FALSE)</f>
        <v>#N/A</v>
      </c>
      <c r="C490" s="35"/>
      <c r="D490" s="30" t="s">
        <v>1462</v>
      </c>
      <c r="E490" s="15" t="s">
        <v>1570</v>
      </c>
    </row>
    <row r="491" spans="1:5" x14ac:dyDescent="0.25">
      <c r="A491" s="36" t="e">
        <f>VLOOKUP($C491,'Variable Information'!$A$2:$E$480,5,FALSE)</f>
        <v>#N/A</v>
      </c>
      <c r="B491" s="36" t="e">
        <f>VLOOKUP($C491,'Variable Information'!$A$1:$C$480,3,FALSE)</f>
        <v>#N/A</v>
      </c>
      <c r="C491" s="35"/>
      <c r="D491" s="30" t="s">
        <v>1471</v>
      </c>
      <c r="E491" s="15" t="s">
        <v>1571</v>
      </c>
    </row>
    <row r="492" spans="1:5" x14ac:dyDescent="0.25">
      <c r="A492" s="36" t="e">
        <f>VLOOKUP($C492,'Variable Information'!$A$2:$E$480,5,FALSE)</f>
        <v>#N/A</v>
      </c>
      <c r="B492" s="36" t="e">
        <f>VLOOKUP($C492,'Variable Information'!$A$1:$C$480,3,FALSE)</f>
        <v>#N/A</v>
      </c>
      <c r="C492" s="35"/>
      <c r="D492" s="30" t="s">
        <v>1473</v>
      </c>
      <c r="E492" s="15" t="s">
        <v>1572</v>
      </c>
    </row>
    <row r="493" spans="1:5" x14ac:dyDescent="0.25">
      <c r="A493" s="36" t="e">
        <f>VLOOKUP($C493,'Variable Information'!$A$2:$E$480,5,FALSE)</f>
        <v>#N/A</v>
      </c>
      <c r="B493" s="36" t="e">
        <f>VLOOKUP($C493,'Variable Information'!$A$1:$C$480,3,FALSE)</f>
        <v>#N/A</v>
      </c>
      <c r="C493" s="35"/>
      <c r="D493" s="30" t="s">
        <v>1475</v>
      </c>
      <c r="E493" s="15" t="s">
        <v>1573</v>
      </c>
    </row>
    <row r="494" spans="1:5" x14ac:dyDescent="0.25">
      <c r="A494" s="36" t="e">
        <f>VLOOKUP($C494,'Variable Information'!$A$2:$E$480,5,FALSE)</f>
        <v>#N/A</v>
      </c>
      <c r="B494" s="36" t="e">
        <f>VLOOKUP($C494,'Variable Information'!$A$1:$C$480,3,FALSE)</f>
        <v>#N/A</v>
      </c>
      <c r="C494" s="35"/>
      <c r="D494" s="30" t="s">
        <v>1477</v>
      </c>
      <c r="E494" s="15" t="s">
        <v>1574</v>
      </c>
    </row>
    <row r="495" spans="1:5" x14ac:dyDescent="0.25">
      <c r="A495" s="36" t="e">
        <f>VLOOKUP($C495,'Variable Information'!$A$2:$E$480,5,FALSE)</f>
        <v>#N/A</v>
      </c>
      <c r="B495" s="36" t="e">
        <f>VLOOKUP($C495,'Variable Information'!$A$1:$C$480,3,FALSE)</f>
        <v>#N/A</v>
      </c>
      <c r="C495" s="35"/>
      <c r="D495" s="30" t="s">
        <v>1503</v>
      </c>
      <c r="E495" s="15" t="s">
        <v>29</v>
      </c>
    </row>
    <row r="496" spans="1:5" x14ac:dyDescent="0.25">
      <c r="A496" s="36" t="str">
        <f>VLOOKUP($C496,'Variable Information'!$A$2:$E$480,5,FALSE)</f>
        <v>AJP_A1_rank</v>
      </c>
      <c r="B496" s="36" t="str">
        <f>VLOOKUP($C496,'Variable Information'!$A$1:$C$480,3,FALSE)</f>
        <v>Q23_4_1_1. Issue ranking - Including issues with buying or selling property and disputes over title or ownership boundary locations and rights of way and Land Registry matters</v>
      </c>
      <c r="C496" s="35" t="s">
        <v>395</v>
      </c>
      <c r="D496" s="30" t="s">
        <v>1447</v>
      </c>
      <c r="E496" s="15" t="s">
        <v>1447</v>
      </c>
    </row>
    <row r="497" spans="1:5" x14ac:dyDescent="0.25">
      <c r="A497" s="36" t="e">
        <f>VLOOKUP($C497,'Variable Information'!$A$2:$E$480,5,FALSE)</f>
        <v>#N/A</v>
      </c>
      <c r="B497" s="36" t="e">
        <f>VLOOKUP($C497,'Variable Information'!$A$1:$C$480,3,FALSE)</f>
        <v>#N/A</v>
      </c>
      <c r="C497" s="35"/>
      <c r="D497" s="30" t="s">
        <v>1449</v>
      </c>
      <c r="E497" s="15" t="s">
        <v>1449</v>
      </c>
    </row>
    <row r="498" spans="1:5" x14ac:dyDescent="0.25">
      <c r="A498" s="36" t="e">
        <f>VLOOKUP($C498,'Variable Information'!$A$2:$E$480,5,FALSE)</f>
        <v>#N/A</v>
      </c>
      <c r="B498" s="36" t="e">
        <f>VLOOKUP($C498,'Variable Information'!$A$1:$C$480,3,FALSE)</f>
        <v>#N/A</v>
      </c>
      <c r="C498" s="35"/>
      <c r="D498" s="30" t="s">
        <v>1451</v>
      </c>
      <c r="E498" s="15" t="s">
        <v>1451</v>
      </c>
    </row>
    <row r="499" spans="1:5" x14ac:dyDescent="0.25">
      <c r="A499" s="36" t="e">
        <f>VLOOKUP($C499,'Variable Information'!$A$2:$E$480,5,FALSE)</f>
        <v>#N/A</v>
      </c>
      <c r="B499" s="36" t="e">
        <f>VLOOKUP($C499,'Variable Information'!$A$1:$C$480,3,FALSE)</f>
        <v>#N/A</v>
      </c>
      <c r="C499" s="35"/>
      <c r="D499" s="30" t="s">
        <v>1456</v>
      </c>
      <c r="E499" s="15" t="s">
        <v>1456</v>
      </c>
    </row>
    <row r="500" spans="1:5" x14ac:dyDescent="0.25">
      <c r="A500" s="36" t="e">
        <f>VLOOKUP($C500,'Variable Information'!$A$2:$E$480,5,FALSE)</f>
        <v>#N/A</v>
      </c>
      <c r="B500" s="36" t="e">
        <f>VLOOKUP($C500,'Variable Information'!$A$1:$C$480,3,FALSE)</f>
        <v>#N/A</v>
      </c>
      <c r="C500" s="35"/>
      <c r="D500" s="30" t="s">
        <v>1458</v>
      </c>
      <c r="E500" s="15" t="s">
        <v>1458</v>
      </c>
    </row>
    <row r="501" spans="1:5" x14ac:dyDescent="0.25">
      <c r="A501" s="36" t="e">
        <f>VLOOKUP($C501,'Variable Information'!$A$2:$E$480,5,FALSE)</f>
        <v>#N/A</v>
      </c>
      <c r="B501" s="36" t="e">
        <f>VLOOKUP($C501,'Variable Information'!$A$1:$C$480,3,FALSE)</f>
        <v>#N/A</v>
      </c>
      <c r="C501" s="35"/>
      <c r="D501" s="30" t="s">
        <v>1460</v>
      </c>
      <c r="E501" s="15" t="s">
        <v>1460</v>
      </c>
    </row>
    <row r="502" spans="1:5" x14ac:dyDescent="0.25">
      <c r="A502" s="36" t="e">
        <f>VLOOKUP($C502,'Variable Information'!$A$2:$E$480,5,FALSE)</f>
        <v>#N/A</v>
      </c>
      <c r="B502" s="36" t="e">
        <f>VLOOKUP($C502,'Variable Information'!$A$1:$C$480,3,FALSE)</f>
        <v>#N/A</v>
      </c>
      <c r="C502" s="35"/>
      <c r="D502" s="30" t="s">
        <v>1462</v>
      </c>
      <c r="E502" s="15" t="s">
        <v>1462</v>
      </c>
    </row>
    <row r="503" spans="1:5" x14ac:dyDescent="0.25">
      <c r="A503" s="36" t="e">
        <f>VLOOKUP($C503,'Variable Information'!$A$2:$E$480,5,FALSE)</f>
        <v>#N/A</v>
      </c>
      <c r="B503" s="36" t="e">
        <f>VLOOKUP($C503,'Variable Information'!$A$1:$C$480,3,FALSE)</f>
        <v>#N/A</v>
      </c>
      <c r="C503" s="35"/>
      <c r="D503" s="30" t="s">
        <v>1471</v>
      </c>
      <c r="E503" s="15" t="s">
        <v>1471</v>
      </c>
    </row>
    <row r="504" spans="1:5" x14ac:dyDescent="0.25">
      <c r="A504" s="36" t="e">
        <f>VLOOKUP($C504,'Variable Information'!$A$2:$E$480,5,FALSE)</f>
        <v>#N/A</v>
      </c>
      <c r="B504" s="36" t="e">
        <f>VLOOKUP($C504,'Variable Information'!$A$1:$C$480,3,FALSE)</f>
        <v>#N/A</v>
      </c>
      <c r="C504" s="35"/>
      <c r="D504" s="30" t="s">
        <v>1473</v>
      </c>
      <c r="E504" s="15" t="s">
        <v>1473</v>
      </c>
    </row>
    <row r="505" spans="1:5" x14ac:dyDescent="0.25">
      <c r="A505" s="36" t="e">
        <f>VLOOKUP($C505,'Variable Information'!$A$2:$E$480,5,FALSE)</f>
        <v>#N/A</v>
      </c>
      <c r="B505" s="36" t="e">
        <f>VLOOKUP($C505,'Variable Information'!$A$1:$C$480,3,FALSE)</f>
        <v>#N/A</v>
      </c>
      <c r="C505" s="35"/>
      <c r="D505" s="30" t="s">
        <v>1475</v>
      </c>
      <c r="E505" s="15" t="s">
        <v>1475</v>
      </c>
    </row>
    <row r="506" spans="1:5" x14ac:dyDescent="0.25">
      <c r="A506" s="36" t="e">
        <f>VLOOKUP($C506,'Variable Information'!$A$2:$E$480,5,FALSE)</f>
        <v>#N/A</v>
      </c>
      <c r="B506" s="36" t="e">
        <f>VLOOKUP($C506,'Variable Information'!$A$1:$C$480,3,FALSE)</f>
        <v>#N/A</v>
      </c>
      <c r="C506" s="35"/>
      <c r="D506" s="30" t="s">
        <v>1477</v>
      </c>
      <c r="E506" s="15" t="s">
        <v>1477</v>
      </c>
    </row>
    <row r="507" spans="1:5" x14ac:dyDescent="0.25">
      <c r="A507" s="36" t="e">
        <f>VLOOKUP($C507,'Variable Information'!$A$2:$E$480,5,FALSE)</f>
        <v>#N/A</v>
      </c>
      <c r="B507" s="36" t="e">
        <f>VLOOKUP($C507,'Variable Information'!$A$1:$C$480,3,FALSE)</f>
        <v>#N/A</v>
      </c>
      <c r="C507" s="35"/>
      <c r="D507" s="30" t="s">
        <v>1503</v>
      </c>
      <c r="E507" s="15" t="s">
        <v>1503</v>
      </c>
    </row>
    <row r="508" spans="1:5" x14ac:dyDescent="0.25">
      <c r="A508" s="36" t="e">
        <f>VLOOKUP($C508,'Variable Information'!$A$2:$E$480,5,FALSE)</f>
        <v>#N/A</v>
      </c>
      <c r="B508" s="36" t="e">
        <f>VLOOKUP($C508,'Variable Information'!$A$1:$C$480,3,FALSE)</f>
        <v>#N/A</v>
      </c>
      <c r="C508" s="35"/>
      <c r="D508" s="30" t="s">
        <v>1524</v>
      </c>
      <c r="E508" s="15" t="s">
        <v>1524</v>
      </c>
    </row>
    <row r="509" spans="1:5" x14ac:dyDescent="0.25">
      <c r="A509" s="36" t="str">
        <f>VLOOKUP($C509,'Variable Information'!$A$2:$E$480,5,FALSE)</f>
        <v>AJP_B1_rank</v>
      </c>
      <c r="B509" s="36" t="str">
        <f>VLOOKUP($C509,'Variable Information'!$A$1:$C$480,3,FALSE)</f>
        <v>Q23_4_2_1. Issue ranking - Disputes about maintenance including of boundaries trees gardens</v>
      </c>
      <c r="C509" s="35" t="s">
        <v>398</v>
      </c>
      <c r="D509" s="30" t="s">
        <v>1447</v>
      </c>
      <c r="E509" s="15" t="s">
        <v>1447</v>
      </c>
    </row>
    <row r="510" spans="1:5" x14ac:dyDescent="0.25">
      <c r="A510" s="36" t="e">
        <f>VLOOKUP($C510,'Variable Information'!$A$2:$E$480,5,FALSE)</f>
        <v>#N/A</v>
      </c>
      <c r="B510" s="36" t="e">
        <f>VLOOKUP($C510,'Variable Information'!$A$1:$C$480,3,FALSE)</f>
        <v>#N/A</v>
      </c>
      <c r="C510" s="35"/>
      <c r="D510" s="30" t="s">
        <v>1449</v>
      </c>
      <c r="E510" s="15" t="s">
        <v>1449</v>
      </c>
    </row>
    <row r="511" spans="1:5" x14ac:dyDescent="0.25">
      <c r="A511" s="36" t="e">
        <f>VLOOKUP($C511,'Variable Information'!$A$2:$E$480,5,FALSE)</f>
        <v>#N/A</v>
      </c>
      <c r="B511" s="36" t="e">
        <f>VLOOKUP($C511,'Variable Information'!$A$1:$C$480,3,FALSE)</f>
        <v>#N/A</v>
      </c>
      <c r="C511" s="35"/>
      <c r="D511" s="30" t="s">
        <v>1451</v>
      </c>
      <c r="E511" s="15" t="s">
        <v>1451</v>
      </c>
    </row>
    <row r="512" spans="1:5" x14ac:dyDescent="0.25">
      <c r="A512" s="36" t="e">
        <f>VLOOKUP($C512,'Variable Information'!$A$2:$E$480,5,FALSE)</f>
        <v>#N/A</v>
      </c>
      <c r="B512" s="36" t="e">
        <f>VLOOKUP($C512,'Variable Information'!$A$1:$C$480,3,FALSE)</f>
        <v>#N/A</v>
      </c>
      <c r="C512" s="35"/>
      <c r="D512" s="30" t="s">
        <v>1456</v>
      </c>
      <c r="E512" s="15" t="s">
        <v>1456</v>
      </c>
    </row>
    <row r="513" spans="1:5" x14ac:dyDescent="0.25">
      <c r="A513" s="36" t="e">
        <f>VLOOKUP($C513,'Variable Information'!$A$2:$E$480,5,FALSE)</f>
        <v>#N/A</v>
      </c>
      <c r="B513" s="36" t="e">
        <f>VLOOKUP($C513,'Variable Information'!$A$1:$C$480,3,FALSE)</f>
        <v>#N/A</v>
      </c>
      <c r="C513" s="35"/>
      <c r="D513" s="30" t="s">
        <v>1458</v>
      </c>
      <c r="E513" s="15" t="s">
        <v>1458</v>
      </c>
    </row>
    <row r="514" spans="1:5" x14ac:dyDescent="0.25">
      <c r="A514" s="36" t="e">
        <f>VLOOKUP($C514,'Variable Information'!$A$2:$E$480,5,FALSE)</f>
        <v>#N/A</v>
      </c>
      <c r="B514" s="36" t="e">
        <f>VLOOKUP($C514,'Variable Information'!$A$1:$C$480,3,FALSE)</f>
        <v>#N/A</v>
      </c>
      <c r="C514" s="35"/>
      <c r="D514" s="30" t="s">
        <v>1460</v>
      </c>
      <c r="E514" s="15" t="s">
        <v>1460</v>
      </c>
    </row>
    <row r="515" spans="1:5" x14ac:dyDescent="0.25">
      <c r="A515" s="36" t="e">
        <f>VLOOKUP($C515,'Variable Information'!$A$2:$E$480,5,FALSE)</f>
        <v>#N/A</v>
      </c>
      <c r="B515" s="36" t="e">
        <f>VLOOKUP($C515,'Variable Information'!$A$1:$C$480,3,FALSE)</f>
        <v>#N/A</v>
      </c>
      <c r="C515" s="35"/>
      <c r="D515" s="30" t="s">
        <v>1462</v>
      </c>
      <c r="E515" s="15" t="s">
        <v>1462</v>
      </c>
    </row>
    <row r="516" spans="1:5" x14ac:dyDescent="0.25">
      <c r="A516" s="36" t="e">
        <f>VLOOKUP($C516,'Variable Information'!$A$2:$E$480,5,FALSE)</f>
        <v>#N/A</v>
      </c>
      <c r="B516" s="36" t="e">
        <f>VLOOKUP($C516,'Variable Information'!$A$1:$C$480,3,FALSE)</f>
        <v>#N/A</v>
      </c>
      <c r="C516" s="35"/>
      <c r="D516" s="30" t="s">
        <v>1471</v>
      </c>
      <c r="E516" s="15" t="s">
        <v>1471</v>
      </c>
    </row>
    <row r="517" spans="1:5" x14ac:dyDescent="0.25">
      <c r="A517" s="36" t="e">
        <f>VLOOKUP($C517,'Variable Information'!$A$2:$E$480,5,FALSE)</f>
        <v>#N/A</v>
      </c>
      <c r="B517" s="36" t="e">
        <f>VLOOKUP($C517,'Variable Information'!$A$1:$C$480,3,FALSE)</f>
        <v>#N/A</v>
      </c>
      <c r="C517" s="35"/>
      <c r="D517" s="30" t="s">
        <v>1473</v>
      </c>
      <c r="E517" s="15" t="s">
        <v>1473</v>
      </c>
    </row>
    <row r="518" spans="1:5" x14ac:dyDescent="0.25">
      <c r="A518" s="36" t="e">
        <f>VLOOKUP($C518,'Variable Information'!$A$2:$E$480,5,FALSE)</f>
        <v>#N/A</v>
      </c>
      <c r="B518" s="36" t="e">
        <f>VLOOKUP($C518,'Variable Information'!$A$1:$C$480,3,FALSE)</f>
        <v>#N/A</v>
      </c>
      <c r="C518" s="35"/>
      <c r="D518" s="30" t="s">
        <v>1475</v>
      </c>
      <c r="E518" s="15" t="s">
        <v>1475</v>
      </c>
    </row>
    <row r="519" spans="1:5" x14ac:dyDescent="0.25">
      <c r="A519" s="36" t="e">
        <f>VLOOKUP($C519,'Variable Information'!$A$2:$E$480,5,FALSE)</f>
        <v>#N/A</v>
      </c>
      <c r="B519" s="36" t="e">
        <f>VLOOKUP($C519,'Variable Information'!$A$1:$C$480,3,FALSE)</f>
        <v>#N/A</v>
      </c>
      <c r="C519" s="35"/>
      <c r="D519" s="30" t="s">
        <v>1477</v>
      </c>
      <c r="E519" s="15" t="s">
        <v>1477</v>
      </c>
    </row>
    <row r="520" spans="1:5" x14ac:dyDescent="0.25">
      <c r="A520" s="36" t="e">
        <f>VLOOKUP($C520,'Variable Information'!$A$2:$E$480,5,FALSE)</f>
        <v>#N/A</v>
      </c>
      <c r="B520" s="36" t="e">
        <f>VLOOKUP($C520,'Variable Information'!$A$1:$C$480,3,FALSE)</f>
        <v>#N/A</v>
      </c>
      <c r="C520" s="35"/>
      <c r="D520" s="30" t="s">
        <v>1503</v>
      </c>
      <c r="E520" s="15" t="s">
        <v>1503</v>
      </c>
    </row>
    <row r="521" spans="1:5" x14ac:dyDescent="0.25">
      <c r="A521" s="36" t="e">
        <f>VLOOKUP($C521,'Variable Information'!$A$2:$E$480,5,FALSE)</f>
        <v>#N/A</v>
      </c>
      <c r="B521" s="36" t="e">
        <f>VLOOKUP($C521,'Variable Information'!$A$1:$C$480,3,FALSE)</f>
        <v>#N/A</v>
      </c>
      <c r="C521" s="35"/>
      <c r="D521" s="30" t="s">
        <v>1524</v>
      </c>
      <c r="E521" s="15" t="s">
        <v>1524</v>
      </c>
    </row>
    <row r="522" spans="1:5" x14ac:dyDescent="0.25">
      <c r="A522" s="36" t="str">
        <f>VLOOKUP($C522,'Variable Information'!$A$2:$E$480,5,FALSE)</f>
        <v>AJP_B2_rank</v>
      </c>
      <c r="B522" s="36" t="str">
        <f>VLOOKUP($C522,'Variable Information'!$A$1:$C$480,3,FALSE)</f>
        <v>Q23_4_2_2. Issue ranking - Problems or disputes to do with noise animals or unpleasant behaviour</v>
      </c>
      <c r="C522" s="35" t="s">
        <v>401</v>
      </c>
      <c r="D522" s="30" t="s">
        <v>1447</v>
      </c>
      <c r="E522" s="15" t="s">
        <v>1447</v>
      </c>
    </row>
    <row r="523" spans="1:5" x14ac:dyDescent="0.25">
      <c r="A523" s="36" t="e">
        <f>VLOOKUP($C523,'Variable Information'!$A$2:$E$480,5,FALSE)</f>
        <v>#N/A</v>
      </c>
      <c r="B523" s="36" t="e">
        <f>VLOOKUP($C523,'Variable Information'!$A$1:$C$480,3,FALSE)</f>
        <v>#N/A</v>
      </c>
      <c r="C523" s="35"/>
      <c r="D523" s="30" t="s">
        <v>1449</v>
      </c>
      <c r="E523" s="15" t="s">
        <v>1449</v>
      </c>
    </row>
    <row r="524" spans="1:5" x14ac:dyDescent="0.25">
      <c r="A524" s="36" t="e">
        <f>VLOOKUP($C524,'Variable Information'!$A$2:$E$480,5,FALSE)</f>
        <v>#N/A</v>
      </c>
      <c r="B524" s="36" t="e">
        <f>VLOOKUP($C524,'Variable Information'!$A$1:$C$480,3,FALSE)</f>
        <v>#N/A</v>
      </c>
      <c r="C524" s="35"/>
      <c r="D524" s="30" t="s">
        <v>1451</v>
      </c>
      <c r="E524" s="15" t="s">
        <v>1451</v>
      </c>
    </row>
    <row r="525" spans="1:5" x14ac:dyDescent="0.25">
      <c r="A525" s="36" t="e">
        <f>VLOOKUP($C525,'Variable Information'!$A$2:$E$480,5,FALSE)</f>
        <v>#N/A</v>
      </c>
      <c r="B525" s="36" t="e">
        <f>VLOOKUP($C525,'Variable Information'!$A$1:$C$480,3,FALSE)</f>
        <v>#N/A</v>
      </c>
      <c r="C525" s="35"/>
      <c r="D525" s="30" t="s">
        <v>1456</v>
      </c>
      <c r="E525" s="15" t="s">
        <v>1456</v>
      </c>
    </row>
    <row r="526" spans="1:5" x14ac:dyDescent="0.25">
      <c r="A526" s="36" t="e">
        <f>VLOOKUP($C526,'Variable Information'!$A$2:$E$480,5,FALSE)</f>
        <v>#N/A</v>
      </c>
      <c r="B526" s="36" t="e">
        <f>VLOOKUP($C526,'Variable Information'!$A$1:$C$480,3,FALSE)</f>
        <v>#N/A</v>
      </c>
      <c r="C526" s="35"/>
      <c r="D526" s="30" t="s">
        <v>1458</v>
      </c>
      <c r="E526" s="15" t="s">
        <v>1458</v>
      </c>
    </row>
    <row r="527" spans="1:5" x14ac:dyDescent="0.25">
      <c r="A527" s="36" t="e">
        <f>VLOOKUP($C527,'Variable Information'!$A$2:$E$480,5,FALSE)</f>
        <v>#N/A</v>
      </c>
      <c r="B527" s="36" t="e">
        <f>VLOOKUP($C527,'Variable Information'!$A$1:$C$480,3,FALSE)</f>
        <v>#N/A</v>
      </c>
      <c r="C527" s="35"/>
      <c r="D527" s="30" t="s">
        <v>1460</v>
      </c>
      <c r="E527" s="15" t="s">
        <v>1460</v>
      </c>
    </row>
    <row r="528" spans="1:5" x14ac:dyDescent="0.25">
      <c r="A528" s="36" t="e">
        <f>VLOOKUP($C528,'Variable Information'!$A$2:$E$480,5,FALSE)</f>
        <v>#N/A</v>
      </c>
      <c r="B528" s="36" t="e">
        <f>VLOOKUP($C528,'Variable Information'!$A$1:$C$480,3,FALSE)</f>
        <v>#N/A</v>
      </c>
      <c r="C528" s="35"/>
      <c r="D528" s="30" t="s">
        <v>1462</v>
      </c>
      <c r="E528" s="15" t="s">
        <v>1462</v>
      </c>
    </row>
    <row r="529" spans="1:5" x14ac:dyDescent="0.25">
      <c r="A529" s="36" t="e">
        <f>VLOOKUP($C529,'Variable Information'!$A$2:$E$480,5,FALSE)</f>
        <v>#N/A</v>
      </c>
      <c r="B529" s="36" t="e">
        <f>VLOOKUP($C529,'Variable Information'!$A$1:$C$480,3,FALSE)</f>
        <v>#N/A</v>
      </c>
      <c r="C529" s="35"/>
      <c r="D529" s="30" t="s">
        <v>1471</v>
      </c>
      <c r="E529" s="15" t="s">
        <v>1471</v>
      </c>
    </row>
    <row r="530" spans="1:5" x14ac:dyDescent="0.25">
      <c r="A530" s="36" t="e">
        <f>VLOOKUP($C530,'Variable Information'!$A$2:$E$480,5,FALSE)</f>
        <v>#N/A</v>
      </c>
      <c r="B530" s="36" t="e">
        <f>VLOOKUP($C530,'Variable Information'!$A$1:$C$480,3,FALSE)</f>
        <v>#N/A</v>
      </c>
      <c r="C530" s="35"/>
      <c r="D530" s="30" t="s">
        <v>1473</v>
      </c>
      <c r="E530" s="15" t="s">
        <v>1473</v>
      </c>
    </row>
    <row r="531" spans="1:5" x14ac:dyDescent="0.25">
      <c r="A531" s="36" t="e">
        <f>VLOOKUP($C531,'Variable Information'!$A$2:$E$480,5,FALSE)</f>
        <v>#N/A</v>
      </c>
      <c r="B531" s="36" t="e">
        <f>VLOOKUP($C531,'Variable Information'!$A$1:$C$480,3,FALSE)</f>
        <v>#N/A</v>
      </c>
      <c r="C531" s="35"/>
      <c r="D531" s="30" t="s">
        <v>1475</v>
      </c>
      <c r="E531" s="15" t="s">
        <v>1475</v>
      </c>
    </row>
    <row r="532" spans="1:5" x14ac:dyDescent="0.25">
      <c r="A532" s="36" t="e">
        <f>VLOOKUP($C532,'Variable Information'!$A$2:$E$480,5,FALSE)</f>
        <v>#N/A</v>
      </c>
      <c r="B532" s="36" t="e">
        <f>VLOOKUP($C532,'Variable Information'!$A$1:$C$480,3,FALSE)</f>
        <v>#N/A</v>
      </c>
      <c r="C532" s="35"/>
      <c r="D532" s="30" t="s">
        <v>1477</v>
      </c>
      <c r="E532" s="15" t="s">
        <v>1477</v>
      </c>
    </row>
    <row r="533" spans="1:5" x14ac:dyDescent="0.25">
      <c r="A533" s="36" t="e">
        <f>VLOOKUP($C533,'Variable Information'!$A$2:$E$480,5,FALSE)</f>
        <v>#N/A</v>
      </c>
      <c r="B533" s="36" t="e">
        <f>VLOOKUP($C533,'Variable Information'!$A$1:$C$480,3,FALSE)</f>
        <v>#N/A</v>
      </c>
      <c r="C533" s="35"/>
      <c r="D533" s="30" t="s">
        <v>1503</v>
      </c>
      <c r="E533" s="15" t="s">
        <v>1503</v>
      </c>
    </row>
    <row r="534" spans="1:5" x14ac:dyDescent="0.25">
      <c r="A534" s="36" t="e">
        <f>VLOOKUP($C534,'Variable Information'!$A$2:$E$480,5,FALSE)</f>
        <v>#N/A</v>
      </c>
      <c r="B534" s="36" t="e">
        <f>VLOOKUP($C534,'Variable Information'!$A$1:$C$480,3,FALSE)</f>
        <v>#N/A</v>
      </c>
      <c r="C534" s="35"/>
      <c r="D534" s="30" t="s">
        <v>1524</v>
      </c>
      <c r="E534" s="15" t="s">
        <v>1524</v>
      </c>
    </row>
    <row r="535" spans="1:5" x14ac:dyDescent="0.25">
      <c r="A535" s="36" t="str">
        <f>VLOOKUP($C535,'Variable Information'!$A$2:$E$480,5,FALSE)</f>
        <v>AJP_B3_rank</v>
      </c>
      <c r="B535" s="36" t="str">
        <f>VLOOKUP($C535,'Variable Information'!$A$1:$C$480,3,FALSE)</f>
        <v>Q23_4_2_3. Issue ranking - Other disputes with neighbours such as issues with parking</v>
      </c>
      <c r="C535" s="35" t="s">
        <v>404</v>
      </c>
      <c r="D535" s="30" t="s">
        <v>1447</v>
      </c>
      <c r="E535" s="15" t="s">
        <v>1447</v>
      </c>
    </row>
    <row r="536" spans="1:5" x14ac:dyDescent="0.25">
      <c r="A536" s="36" t="e">
        <f>VLOOKUP($C536,'Variable Information'!$A$2:$E$480,5,FALSE)</f>
        <v>#N/A</v>
      </c>
      <c r="B536" s="36" t="e">
        <f>VLOOKUP($C536,'Variable Information'!$A$1:$C$480,3,FALSE)</f>
        <v>#N/A</v>
      </c>
      <c r="C536" s="35"/>
      <c r="D536" s="30" t="s">
        <v>1449</v>
      </c>
      <c r="E536" s="15" t="s">
        <v>1449</v>
      </c>
    </row>
    <row r="537" spans="1:5" x14ac:dyDescent="0.25">
      <c r="A537" s="36" t="e">
        <f>VLOOKUP($C537,'Variable Information'!$A$2:$E$480,5,FALSE)</f>
        <v>#N/A</v>
      </c>
      <c r="B537" s="36" t="e">
        <f>VLOOKUP($C537,'Variable Information'!$A$1:$C$480,3,FALSE)</f>
        <v>#N/A</v>
      </c>
      <c r="C537" s="35"/>
      <c r="D537" s="30" t="s">
        <v>1451</v>
      </c>
      <c r="E537" s="15" t="s">
        <v>1451</v>
      </c>
    </row>
    <row r="538" spans="1:5" x14ac:dyDescent="0.25">
      <c r="A538" s="36" t="e">
        <f>VLOOKUP($C538,'Variable Information'!$A$2:$E$480,5,FALSE)</f>
        <v>#N/A</v>
      </c>
      <c r="B538" s="36" t="e">
        <f>VLOOKUP($C538,'Variable Information'!$A$1:$C$480,3,FALSE)</f>
        <v>#N/A</v>
      </c>
      <c r="C538" s="35"/>
      <c r="D538" s="30" t="s">
        <v>1456</v>
      </c>
      <c r="E538" s="15" t="s">
        <v>1456</v>
      </c>
    </row>
    <row r="539" spans="1:5" x14ac:dyDescent="0.25">
      <c r="A539" s="36" t="e">
        <f>VLOOKUP($C539,'Variable Information'!$A$2:$E$480,5,FALSE)</f>
        <v>#N/A</v>
      </c>
      <c r="B539" s="36" t="e">
        <f>VLOOKUP($C539,'Variable Information'!$A$1:$C$480,3,FALSE)</f>
        <v>#N/A</v>
      </c>
      <c r="C539" s="35"/>
      <c r="D539" s="30" t="s">
        <v>1458</v>
      </c>
      <c r="E539" s="15" t="s">
        <v>1458</v>
      </c>
    </row>
    <row r="540" spans="1:5" x14ac:dyDescent="0.25">
      <c r="A540" s="36" t="e">
        <f>VLOOKUP($C540,'Variable Information'!$A$2:$E$480,5,FALSE)</f>
        <v>#N/A</v>
      </c>
      <c r="B540" s="36" t="e">
        <f>VLOOKUP($C540,'Variable Information'!$A$1:$C$480,3,FALSE)</f>
        <v>#N/A</v>
      </c>
      <c r="C540" s="35"/>
      <c r="D540" s="30" t="s">
        <v>1460</v>
      </c>
      <c r="E540" s="15" t="s">
        <v>1460</v>
      </c>
    </row>
    <row r="541" spans="1:5" x14ac:dyDescent="0.25">
      <c r="A541" s="36" t="e">
        <f>VLOOKUP($C541,'Variable Information'!$A$2:$E$480,5,FALSE)</f>
        <v>#N/A</v>
      </c>
      <c r="B541" s="36" t="e">
        <f>VLOOKUP($C541,'Variable Information'!$A$1:$C$480,3,FALSE)</f>
        <v>#N/A</v>
      </c>
      <c r="C541" s="35"/>
      <c r="D541" s="30" t="s">
        <v>1462</v>
      </c>
      <c r="E541" s="15" t="s">
        <v>1462</v>
      </c>
    </row>
    <row r="542" spans="1:5" x14ac:dyDescent="0.25">
      <c r="A542" s="36" t="e">
        <f>VLOOKUP($C542,'Variable Information'!$A$2:$E$480,5,FALSE)</f>
        <v>#N/A</v>
      </c>
      <c r="B542" s="36" t="e">
        <f>VLOOKUP($C542,'Variable Information'!$A$1:$C$480,3,FALSE)</f>
        <v>#N/A</v>
      </c>
      <c r="C542" s="35"/>
      <c r="D542" s="30" t="s">
        <v>1471</v>
      </c>
      <c r="E542" s="15" t="s">
        <v>1471</v>
      </c>
    </row>
    <row r="543" spans="1:5" x14ac:dyDescent="0.25">
      <c r="A543" s="36" t="e">
        <f>VLOOKUP($C543,'Variable Information'!$A$2:$E$480,5,FALSE)</f>
        <v>#N/A</v>
      </c>
      <c r="B543" s="36" t="e">
        <f>VLOOKUP($C543,'Variable Information'!$A$1:$C$480,3,FALSE)</f>
        <v>#N/A</v>
      </c>
      <c r="C543" s="35"/>
      <c r="D543" s="30" t="s">
        <v>1473</v>
      </c>
      <c r="E543" s="15" t="s">
        <v>1473</v>
      </c>
    </row>
    <row r="544" spans="1:5" x14ac:dyDescent="0.25">
      <c r="A544" s="36" t="e">
        <f>VLOOKUP($C544,'Variable Information'!$A$2:$E$480,5,FALSE)</f>
        <v>#N/A</v>
      </c>
      <c r="B544" s="36" t="e">
        <f>VLOOKUP($C544,'Variable Information'!$A$1:$C$480,3,FALSE)</f>
        <v>#N/A</v>
      </c>
      <c r="C544" s="35"/>
      <c r="D544" s="30" t="s">
        <v>1475</v>
      </c>
      <c r="E544" s="15" t="s">
        <v>1475</v>
      </c>
    </row>
    <row r="545" spans="1:5" x14ac:dyDescent="0.25">
      <c r="A545" s="36" t="e">
        <f>VLOOKUP($C545,'Variable Information'!$A$2:$E$480,5,FALSE)</f>
        <v>#N/A</v>
      </c>
      <c r="B545" s="36" t="e">
        <f>VLOOKUP($C545,'Variable Information'!$A$1:$C$480,3,FALSE)</f>
        <v>#N/A</v>
      </c>
      <c r="C545" s="35"/>
      <c r="D545" s="30" t="s">
        <v>1477</v>
      </c>
      <c r="E545" s="15" t="s">
        <v>1477</v>
      </c>
    </row>
    <row r="546" spans="1:5" x14ac:dyDescent="0.25">
      <c r="A546" s="36" t="e">
        <f>VLOOKUP($C546,'Variable Information'!$A$2:$E$480,5,FALSE)</f>
        <v>#N/A</v>
      </c>
      <c r="B546" s="36" t="e">
        <f>VLOOKUP($C546,'Variable Information'!$A$1:$C$480,3,FALSE)</f>
        <v>#N/A</v>
      </c>
      <c r="C546" s="35"/>
      <c r="D546" s="30" t="s">
        <v>1503</v>
      </c>
      <c r="E546" s="15" t="s">
        <v>1503</v>
      </c>
    </row>
    <row r="547" spans="1:5" x14ac:dyDescent="0.25">
      <c r="A547" s="36" t="e">
        <f>VLOOKUP($C547,'Variable Information'!$A$2:$E$480,5,FALSE)</f>
        <v>#N/A</v>
      </c>
      <c r="B547" s="36" t="e">
        <f>VLOOKUP($C547,'Variable Information'!$A$1:$C$480,3,FALSE)</f>
        <v>#N/A</v>
      </c>
      <c r="C547" s="35"/>
      <c r="D547" s="30" t="s">
        <v>1524</v>
      </c>
      <c r="E547" s="15" t="s">
        <v>1524</v>
      </c>
    </row>
    <row r="548" spans="1:5" x14ac:dyDescent="0.25">
      <c r="A548" s="36" t="str">
        <f>VLOOKUP($C548,'Variable Information'!$A$2:$E$480,5,FALSE)</f>
        <v>AJP_C1_rank</v>
      </c>
      <c r="B548" s="36" t="str">
        <f>VLOOKUP($C548,'Variable Information'!$A$1:$C$480,3,FALSE)</f>
        <v>Q23_4_3_1. Issue ranking - Problems or disputes with your landlord over your rent or return of deposit</v>
      </c>
      <c r="C548" s="35" t="s">
        <v>407</v>
      </c>
      <c r="D548" s="30" t="s">
        <v>1447</v>
      </c>
      <c r="E548" s="15" t="s">
        <v>1447</v>
      </c>
    </row>
    <row r="549" spans="1:5" x14ac:dyDescent="0.25">
      <c r="A549" s="36" t="e">
        <f>VLOOKUP($C549,'Variable Information'!$A$2:$E$480,5,FALSE)</f>
        <v>#N/A</v>
      </c>
      <c r="B549" s="36" t="e">
        <f>VLOOKUP($C549,'Variable Information'!$A$1:$C$480,3,FALSE)</f>
        <v>#N/A</v>
      </c>
      <c r="C549" s="35"/>
      <c r="D549" s="30" t="s">
        <v>1449</v>
      </c>
      <c r="E549" s="15" t="s">
        <v>1449</v>
      </c>
    </row>
    <row r="550" spans="1:5" x14ac:dyDescent="0.25">
      <c r="A550" s="36" t="e">
        <f>VLOOKUP($C550,'Variable Information'!$A$2:$E$480,5,FALSE)</f>
        <v>#N/A</v>
      </c>
      <c r="B550" s="36" t="e">
        <f>VLOOKUP($C550,'Variable Information'!$A$1:$C$480,3,FALSE)</f>
        <v>#N/A</v>
      </c>
      <c r="C550" s="35"/>
      <c r="D550" s="30" t="s">
        <v>1451</v>
      </c>
      <c r="E550" s="15" t="s">
        <v>1451</v>
      </c>
    </row>
    <row r="551" spans="1:5" x14ac:dyDescent="0.25">
      <c r="A551" s="36" t="e">
        <f>VLOOKUP($C551,'Variable Information'!$A$2:$E$480,5,FALSE)</f>
        <v>#N/A</v>
      </c>
      <c r="B551" s="36" t="e">
        <f>VLOOKUP($C551,'Variable Information'!$A$1:$C$480,3,FALSE)</f>
        <v>#N/A</v>
      </c>
      <c r="C551" s="35"/>
      <c r="D551" s="30" t="s">
        <v>1456</v>
      </c>
      <c r="E551" s="15" t="s">
        <v>1456</v>
      </c>
    </row>
    <row r="552" spans="1:5" x14ac:dyDescent="0.25">
      <c r="A552" s="36" t="e">
        <f>VLOOKUP($C552,'Variable Information'!$A$2:$E$480,5,FALSE)</f>
        <v>#N/A</v>
      </c>
      <c r="B552" s="36" t="e">
        <f>VLOOKUP($C552,'Variable Information'!$A$1:$C$480,3,FALSE)</f>
        <v>#N/A</v>
      </c>
      <c r="C552" s="35"/>
      <c r="D552" s="30" t="s">
        <v>1458</v>
      </c>
      <c r="E552" s="15" t="s">
        <v>1458</v>
      </c>
    </row>
    <row r="553" spans="1:5" x14ac:dyDescent="0.25">
      <c r="A553" s="36" t="e">
        <f>VLOOKUP($C553,'Variable Information'!$A$2:$E$480,5,FALSE)</f>
        <v>#N/A</v>
      </c>
      <c r="B553" s="36" t="e">
        <f>VLOOKUP($C553,'Variable Information'!$A$1:$C$480,3,FALSE)</f>
        <v>#N/A</v>
      </c>
      <c r="C553" s="35"/>
      <c r="D553" s="30" t="s">
        <v>1460</v>
      </c>
      <c r="E553" s="15" t="s">
        <v>1460</v>
      </c>
    </row>
    <row r="554" spans="1:5" x14ac:dyDescent="0.25">
      <c r="A554" s="36" t="e">
        <f>VLOOKUP($C554,'Variable Information'!$A$2:$E$480,5,FALSE)</f>
        <v>#N/A</v>
      </c>
      <c r="B554" s="36" t="e">
        <f>VLOOKUP($C554,'Variable Information'!$A$1:$C$480,3,FALSE)</f>
        <v>#N/A</v>
      </c>
      <c r="C554" s="35"/>
      <c r="D554" s="30" t="s">
        <v>1462</v>
      </c>
      <c r="E554" s="15" t="s">
        <v>1462</v>
      </c>
    </row>
    <row r="555" spans="1:5" x14ac:dyDescent="0.25">
      <c r="A555" s="36" t="e">
        <f>VLOOKUP($C555,'Variable Information'!$A$2:$E$480,5,FALSE)</f>
        <v>#N/A</v>
      </c>
      <c r="B555" s="36" t="e">
        <f>VLOOKUP($C555,'Variable Information'!$A$1:$C$480,3,FALSE)</f>
        <v>#N/A</v>
      </c>
      <c r="C555" s="35"/>
      <c r="D555" s="30" t="s">
        <v>1471</v>
      </c>
      <c r="E555" s="15" t="s">
        <v>1471</v>
      </c>
    </row>
    <row r="556" spans="1:5" x14ac:dyDescent="0.25">
      <c r="A556" s="36" t="e">
        <f>VLOOKUP($C556,'Variable Information'!$A$2:$E$480,5,FALSE)</f>
        <v>#N/A</v>
      </c>
      <c r="B556" s="36" t="e">
        <f>VLOOKUP($C556,'Variable Information'!$A$1:$C$480,3,FALSE)</f>
        <v>#N/A</v>
      </c>
      <c r="C556" s="35"/>
      <c r="D556" s="30" t="s">
        <v>1473</v>
      </c>
      <c r="E556" s="15" t="s">
        <v>1473</v>
      </c>
    </row>
    <row r="557" spans="1:5" x14ac:dyDescent="0.25">
      <c r="A557" s="36" t="e">
        <f>VLOOKUP($C557,'Variable Information'!$A$2:$E$480,5,FALSE)</f>
        <v>#N/A</v>
      </c>
      <c r="B557" s="36" t="e">
        <f>VLOOKUP($C557,'Variable Information'!$A$1:$C$480,3,FALSE)</f>
        <v>#N/A</v>
      </c>
      <c r="C557" s="35"/>
      <c r="D557" s="30" t="s">
        <v>1475</v>
      </c>
      <c r="E557" s="15" t="s">
        <v>1475</v>
      </c>
    </row>
    <row r="558" spans="1:5" x14ac:dyDescent="0.25">
      <c r="A558" s="36" t="e">
        <f>VLOOKUP($C558,'Variable Information'!$A$2:$E$480,5,FALSE)</f>
        <v>#N/A</v>
      </c>
      <c r="B558" s="36" t="e">
        <f>VLOOKUP($C558,'Variable Information'!$A$1:$C$480,3,FALSE)</f>
        <v>#N/A</v>
      </c>
      <c r="C558" s="35"/>
      <c r="D558" s="30" t="s">
        <v>1477</v>
      </c>
      <c r="E558" s="15" t="s">
        <v>1477</v>
      </c>
    </row>
    <row r="559" spans="1:5" x14ac:dyDescent="0.25">
      <c r="A559" s="36" t="e">
        <f>VLOOKUP($C559,'Variable Information'!$A$2:$E$480,5,FALSE)</f>
        <v>#N/A</v>
      </c>
      <c r="B559" s="36" t="e">
        <f>VLOOKUP($C559,'Variable Information'!$A$1:$C$480,3,FALSE)</f>
        <v>#N/A</v>
      </c>
      <c r="C559" s="35"/>
      <c r="D559" s="30" t="s">
        <v>1503</v>
      </c>
      <c r="E559" s="15" t="s">
        <v>1503</v>
      </c>
    </row>
    <row r="560" spans="1:5" x14ac:dyDescent="0.25">
      <c r="A560" s="36" t="e">
        <f>VLOOKUP($C560,'Variable Information'!$A$2:$E$480,5,FALSE)</f>
        <v>#N/A</v>
      </c>
      <c r="B560" s="36" t="e">
        <f>VLOOKUP($C560,'Variable Information'!$A$1:$C$480,3,FALSE)</f>
        <v>#N/A</v>
      </c>
      <c r="C560" s="35"/>
      <c r="D560" s="30" t="s">
        <v>1524</v>
      </c>
      <c r="E560" s="15" t="s">
        <v>1524</v>
      </c>
    </row>
    <row r="561" spans="1:5" x14ac:dyDescent="0.25">
      <c r="A561" s="36" t="str">
        <f>VLOOKUP($C561,'Variable Information'!$A$2:$E$480,5,FALSE)</f>
        <v>AJP_C2_rank</v>
      </c>
      <c r="B561" s="36" t="str">
        <f>VLOOKUP($C561,'Variable Information'!$A$1:$C$480,3,FALSE)</f>
        <v>Q23_4_3_2. Issue ranking - Problem with your landlord about the condition of your accommodation including damage/repairs</v>
      </c>
      <c r="C561" s="35" t="s">
        <v>410</v>
      </c>
      <c r="D561" s="30" t="s">
        <v>1447</v>
      </c>
      <c r="E561" s="15" t="s">
        <v>1447</v>
      </c>
    </row>
    <row r="562" spans="1:5" x14ac:dyDescent="0.25">
      <c r="A562" s="36" t="e">
        <f>VLOOKUP($C562,'Variable Information'!$A$2:$E$480,5,FALSE)</f>
        <v>#N/A</v>
      </c>
      <c r="B562" s="36" t="e">
        <f>VLOOKUP($C562,'Variable Information'!$A$1:$C$480,3,FALSE)</f>
        <v>#N/A</v>
      </c>
      <c r="C562" s="35"/>
      <c r="D562" s="30" t="s">
        <v>1449</v>
      </c>
      <c r="E562" s="15" t="s">
        <v>1449</v>
      </c>
    </row>
    <row r="563" spans="1:5" x14ac:dyDescent="0.25">
      <c r="A563" s="36" t="e">
        <f>VLOOKUP($C563,'Variable Information'!$A$2:$E$480,5,FALSE)</f>
        <v>#N/A</v>
      </c>
      <c r="B563" s="36" t="e">
        <f>VLOOKUP($C563,'Variable Information'!$A$1:$C$480,3,FALSE)</f>
        <v>#N/A</v>
      </c>
      <c r="C563" s="35"/>
      <c r="D563" s="30" t="s">
        <v>1451</v>
      </c>
      <c r="E563" s="15" t="s">
        <v>1451</v>
      </c>
    </row>
    <row r="564" spans="1:5" x14ac:dyDescent="0.25">
      <c r="A564" s="36" t="e">
        <f>VLOOKUP($C564,'Variable Information'!$A$2:$E$480,5,FALSE)</f>
        <v>#N/A</v>
      </c>
      <c r="B564" s="36" t="e">
        <f>VLOOKUP($C564,'Variable Information'!$A$1:$C$480,3,FALSE)</f>
        <v>#N/A</v>
      </c>
      <c r="C564" s="35"/>
      <c r="D564" s="30" t="s">
        <v>1456</v>
      </c>
      <c r="E564" s="15" t="s">
        <v>1456</v>
      </c>
    </row>
    <row r="565" spans="1:5" x14ac:dyDescent="0.25">
      <c r="A565" s="36" t="e">
        <f>VLOOKUP($C565,'Variable Information'!$A$2:$E$480,5,FALSE)</f>
        <v>#N/A</v>
      </c>
      <c r="B565" s="36" t="e">
        <f>VLOOKUP($C565,'Variable Information'!$A$1:$C$480,3,FALSE)</f>
        <v>#N/A</v>
      </c>
      <c r="C565" s="35"/>
      <c r="D565" s="30" t="s">
        <v>1458</v>
      </c>
      <c r="E565" s="15" t="s">
        <v>1458</v>
      </c>
    </row>
    <row r="566" spans="1:5" x14ac:dyDescent="0.25">
      <c r="A566" s="36" t="e">
        <f>VLOOKUP($C566,'Variable Information'!$A$2:$E$480,5,FALSE)</f>
        <v>#N/A</v>
      </c>
      <c r="B566" s="36" t="e">
        <f>VLOOKUP($C566,'Variable Information'!$A$1:$C$480,3,FALSE)</f>
        <v>#N/A</v>
      </c>
      <c r="C566" s="35"/>
      <c r="D566" s="30" t="s">
        <v>1460</v>
      </c>
      <c r="E566" s="15" t="s">
        <v>1460</v>
      </c>
    </row>
    <row r="567" spans="1:5" x14ac:dyDescent="0.25">
      <c r="A567" s="36" t="e">
        <f>VLOOKUP($C567,'Variable Information'!$A$2:$E$480,5,FALSE)</f>
        <v>#N/A</v>
      </c>
      <c r="B567" s="36" t="e">
        <f>VLOOKUP($C567,'Variable Information'!$A$1:$C$480,3,FALSE)</f>
        <v>#N/A</v>
      </c>
      <c r="C567" s="35"/>
      <c r="D567" s="30" t="s">
        <v>1462</v>
      </c>
      <c r="E567" s="15" t="s">
        <v>1462</v>
      </c>
    </row>
    <row r="568" spans="1:5" x14ac:dyDescent="0.25">
      <c r="A568" s="36" t="e">
        <f>VLOOKUP($C568,'Variable Information'!$A$2:$E$480,5,FALSE)</f>
        <v>#N/A</v>
      </c>
      <c r="B568" s="36" t="e">
        <f>VLOOKUP($C568,'Variable Information'!$A$1:$C$480,3,FALSE)</f>
        <v>#N/A</v>
      </c>
      <c r="C568" s="35"/>
      <c r="D568" s="30" t="s">
        <v>1471</v>
      </c>
      <c r="E568" s="15" t="s">
        <v>1471</v>
      </c>
    </row>
    <row r="569" spans="1:5" x14ac:dyDescent="0.25">
      <c r="A569" s="36" t="e">
        <f>VLOOKUP($C569,'Variable Information'!$A$2:$E$480,5,FALSE)</f>
        <v>#N/A</v>
      </c>
      <c r="B569" s="36" t="e">
        <f>VLOOKUP($C569,'Variable Information'!$A$1:$C$480,3,FALSE)</f>
        <v>#N/A</v>
      </c>
      <c r="C569" s="35"/>
      <c r="D569" s="30" t="s">
        <v>1473</v>
      </c>
      <c r="E569" s="15" t="s">
        <v>1473</v>
      </c>
    </row>
    <row r="570" spans="1:5" x14ac:dyDescent="0.25">
      <c r="A570" s="36" t="e">
        <f>VLOOKUP($C570,'Variable Information'!$A$2:$E$480,5,FALSE)</f>
        <v>#N/A</v>
      </c>
      <c r="B570" s="36" t="e">
        <f>VLOOKUP($C570,'Variable Information'!$A$1:$C$480,3,FALSE)</f>
        <v>#N/A</v>
      </c>
      <c r="C570" s="35"/>
      <c r="D570" s="30" t="s">
        <v>1475</v>
      </c>
      <c r="E570" s="15" t="s">
        <v>1475</v>
      </c>
    </row>
    <row r="571" spans="1:5" x14ac:dyDescent="0.25">
      <c r="A571" s="36" t="e">
        <f>VLOOKUP($C571,'Variable Information'!$A$2:$E$480,5,FALSE)</f>
        <v>#N/A</v>
      </c>
      <c r="B571" s="36" t="e">
        <f>VLOOKUP($C571,'Variable Information'!$A$1:$C$480,3,FALSE)</f>
        <v>#N/A</v>
      </c>
      <c r="C571" s="35"/>
      <c r="D571" s="30" t="s">
        <v>1477</v>
      </c>
      <c r="E571" s="15" t="s">
        <v>1477</v>
      </c>
    </row>
    <row r="572" spans="1:5" x14ac:dyDescent="0.25">
      <c r="A572" s="36" t="e">
        <f>VLOOKUP($C572,'Variable Information'!$A$2:$E$480,5,FALSE)</f>
        <v>#N/A</v>
      </c>
      <c r="B572" s="36" t="e">
        <f>VLOOKUP($C572,'Variable Information'!$A$1:$C$480,3,FALSE)</f>
        <v>#N/A</v>
      </c>
      <c r="C572" s="35"/>
      <c r="D572" s="30" t="s">
        <v>1503</v>
      </c>
      <c r="E572" s="15" t="s">
        <v>1503</v>
      </c>
    </row>
    <row r="573" spans="1:5" x14ac:dyDescent="0.25">
      <c r="A573" s="36" t="e">
        <f>VLOOKUP($C573,'Variable Information'!$A$2:$E$480,5,FALSE)</f>
        <v>#N/A</v>
      </c>
      <c r="B573" s="36" t="e">
        <f>VLOOKUP($C573,'Variable Information'!$A$1:$C$480,3,FALSE)</f>
        <v>#N/A</v>
      </c>
      <c r="C573" s="35"/>
      <c r="D573" s="30" t="s">
        <v>1524</v>
      </c>
      <c r="E573" s="15" t="s">
        <v>1524</v>
      </c>
    </row>
    <row r="574" spans="1:5" x14ac:dyDescent="0.25">
      <c r="A574" s="36" t="str">
        <f>VLOOKUP($C574,'Variable Information'!$A$2:$E$480,5,FALSE)</f>
        <v>AJP_C3_rank</v>
      </c>
      <c r="B574" s="36" t="str">
        <f>VLOOKUP($C574,'Variable Information'!$A$1:$C$480,3,FALSE)</f>
        <v>Q23_4_3_3. Issue ranking - Eviction or threats of eviction or other harassment by a landlord</v>
      </c>
      <c r="C574" s="35" t="s">
        <v>413</v>
      </c>
      <c r="D574" s="30" t="s">
        <v>1447</v>
      </c>
      <c r="E574" s="15" t="s">
        <v>1447</v>
      </c>
    </row>
    <row r="575" spans="1:5" x14ac:dyDescent="0.25">
      <c r="A575" s="36" t="e">
        <f>VLOOKUP($C575,'Variable Information'!$A$2:$E$480,5,FALSE)</f>
        <v>#N/A</v>
      </c>
      <c r="B575" s="36" t="e">
        <f>VLOOKUP($C575,'Variable Information'!$A$1:$C$480,3,FALSE)</f>
        <v>#N/A</v>
      </c>
      <c r="C575" s="35"/>
      <c r="D575" s="30" t="s">
        <v>1449</v>
      </c>
      <c r="E575" s="15" t="s">
        <v>1449</v>
      </c>
    </row>
    <row r="576" spans="1:5" x14ac:dyDescent="0.25">
      <c r="A576" s="36" t="e">
        <f>VLOOKUP($C576,'Variable Information'!$A$2:$E$480,5,FALSE)</f>
        <v>#N/A</v>
      </c>
      <c r="B576" s="36" t="e">
        <f>VLOOKUP($C576,'Variable Information'!$A$1:$C$480,3,FALSE)</f>
        <v>#N/A</v>
      </c>
      <c r="C576" s="35"/>
      <c r="D576" s="30" t="s">
        <v>1451</v>
      </c>
      <c r="E576" s="15" t="s">
        <v>1451</v>
      </c>
    </row>
    <row r="577" spans="1:5" x14ac:dyDescent="0.25">
      <c r="A577" s="36" t="e">
        <f>VLOOKUP($C577,'Variable Information'!$A$2:$E$480,5,FALSE)</f>
        <v>#N/A</v>
      </c>
      <c r="B577" s="36" t="e">
        <f>VLOOKUP($C577,'Variable Information'!$A$1:$C$480,3,FALSE)</f>
        <v>#N/A</v>
      </c>
      <c r="C577" s="35"/>
      <c r="D577" s="30" t="s">
        <v>1456</v>
      </c>
      <c r="E577" s="15" t="s">
        <v>1456</v>
      </c>
    </row>
    <row r="578" spans="1:5" x14ac:dyDescent="0.25">
      <c r="A578" s="36" t="e">
        <f>VLOOKUP($C578,'Variable Information'!$A$2:$E$480,5,FALSE)</f>
        <v>#N/A</v>
      </c>
      <c r="B578" s="36" t="e">
        <f>VLOOKUP($C578,'Variable Information'!$A$1:$C$480,3,FALSE)</f>
        <v>#N/A</v>
      </c>
      <c r="C578" s="35"/>
      <c r="D578" s="30" t="s">
        <v>1458</v>
      </c>
      <c r="E578" s="15" t="s">
        <v>1458</v>
      </c>
    </row>
    <row r="579" spans="1:5" x14ac:dyDescent="0.25">
      <c r="A579" s="36" t="e">
        <f>VLOOKUP($C579,'Variable Information'!$A$2:$E$480,5,FALSE)</f>
        <v>#N/A</v>
      </c>
      <c r="B579" s="36" t="e">
        <f>VLOOKUP($C579,'Variable Information'!$A$1:$C$480,3,FALSE)</f>
        <v>#N/A</v>
      </c>
      <c r="C579" s="35"/>
      <c r="D579" s="30" t="s">
        <v>1460</v>
      </c>
      <c r="E579" s="15" t="s">
        <v>1460</v>
      </c>
    </row>
    <row r="580" spans="1:5" x14ac:dyDescent="0.25">
      <c r="A580" s="36" t="e">
        <f>VLOOKUP($C580,'Variable Information'!$A$2:$E$480,5,FALSE)</f>
        <v>#N/A</v>
      </c>
      <c r="B580" s="36" t="e">
        <f>VLOOKUP($C580,'Variable Information'!$A$1:$C$480,3,FALSE)</f>
        <v>#N/A</v>
      </c>
      <c r="C580" s="35"/>
      <c r="D580" s="30" t="s">
        <v>1462</v>
      </c>
      <c r="E580" s="15" t="s">
        <v>1462</v>
      </c>
    </row>
    <row r="581" spans="1:5" x14ac:dyDescent="0.25">
      <c r="A581" s="36" t="e">
        <f>VLOOKUP($C581,'Variable Information'!$A$2:$E$480,5,FALSE)</f>
        <v>#N/A</v>
      </c>
      <c r="B581" s="36" t="e">
        <f>VLOOKUP($C581,'Variable Information'!$A$1:$C$480,3,FALSE)</f>
        <v>#N/A</v>
      </c>
      <c r="C581" s="35"/>
      <c r="D581" s="30" t="s">
        <v>1471</v>
      </c>
      <c r="E581" s="15" t="s">
        <v>1471</v>
      </c>
    </row>
    <row r="582" spans="1:5" x14ac:dyDescent="0.25">
      <c r="A582" s="36" t="e">
        <f>VLOOKUP($C582,'Variable Information'!$A$2:$E$480,5,FALSE)</f>
        <v>#N/A</v>
      </c>
      <c r="B582" s="36" t="e">
        <f>VLOOKUP($C582,'Variable Information'!$A$1:$C$480,3,FALSE)</f>
        <v>#N/A</v>
      </c>
      <c r="C582" s="35"/>
      <c r="D582" s="30" t="s">
        <v>1473</v>
      </c>
      <c r="E582" s="15" t="s">
        <v>1473</v>
      </c>
    </row>
    <row r="583" spans="1:5" x14ac:dyDescent="0.25">
      <c r="A583" s="36" t="e">
        <f>VLOOKUP($C583,'Variable Information'!$A$2:$E$480,5,FALSE)</f>
        <v>#N/A</v>
      </c>
      <c r="B583" s="36" t="e">
        <f>VLOOKUP($C583,'Variable Information'!$A$1:$C$480,3,FALSE)</f>
        <v>#N/A</v>
      </c>
      <c r="C583" s="35"/>
      <c r="D583" s="30" t="s">
        <v>1475</v>
      </c>
      <c r="E583" s="15" t="s">
        <v>1475</v>
      </c>
    </row>
    <row r="584" spans="1:5" x14ac:dyDescent="0.25">
      <c r="A584" s="36" t="e">
        <f>VLOOKUP($C584,'Variable Information'!$A$2:$E$480,5,FALSE)</f>
        <v>#N/A</v>
      </c>
      <c r="B584" s="36" t="e">
        <f>VLOOKUP($C584,'Variable Information'!$A$1:$C$480,3,FALSE)</f>
        <v>#N/A</v>
      </c>
      <c r="C584" s="35"/>
      <c r="D584" s="30" t="s">
        <v>1477</v>
      </c>
      <c r="E584" s="15" t="s">
        <v>1477</v>
      </c>
    </row>
    <row r="585" spans="1:5" x14ac:dyDescent="0.25">
      <c r="A585" s="36" t="e">
        <f>VLOOKUP($C585,'Variable Information'!$A$2:$E$480,5,FALSE)</f>
        <v>#N/A</v>
      </c>
      <c r="B585" s="36" t="e">
        <f>VLOOKUP($C585,'Variable Information'!$A$1:$C$480,3,FALSE)</f>
        <v>#N/A</v>
      </c>
      <c r="C585" s="35"/>
      <c r="D585" s="30" t="s">
        <v>1503</v>
      </c>
      <c r="E585" s="15" t="s">
        <v>1503</v>
      </c>
    </row>
    <row r="586" spans="1:5" x14ac:dyDescent="0.25">
      <c r="A586" s="36" t="e">
        <f>VLOOKUP($C586,'Variable Information'!$A$2:$E$480,5,FALSE)</f>
        <v>#N/A</v>
      </c>
      <c r="B586" s="36" t="e">
        <f>VLOOKUP($C586,'Variable Information'!$A$1:$C$480,3,FALSE)</f>
        <v>#N/A</v>
      </c>
      <c r="C586" s="35"/>
      <c r="D586" s="30" t="s">
        <v>1524</v>
      </c>
      <c r="E586" s="15" t="s">
        <v>1524</v>
      </c>
    </row>
    <row r="587" spans="1:5" x14ac:dyDescent="0.25">
      <c r="A587" s="36" t="str">
        <f>VLOOKUP($C587,'Variable Information'!$A$2:$E$480,5,FALSE)</f>
        <v>AJP_D1_rank</v>
      </c>
      <c r="B587" s="36" t="str">
        <f>VLOOKUP($C587,'Variable Information'!$A$1:$C$480,3,FALSE)</f>
        <v>Q23_4_4_1. Issue ranking - Issues with a tenant such as delayed/no payment of rent or dispute over a deposit</v>
      </c>
      <c r="C587" s="35" t="s">
        <v>416</v>
      </c>
      <c r="D587" s="30" t="s">
        <v>1447</v>
      </c>
      <c r="E587" s="15" t="s">
        <v>1447</v>
      </c>
    </row>
    <row r="588" spans="1:5" x14ac:dyDescent="0.25">
      <c r="A588" s="36" t="e">
        <f>VLOOKUP($C588,'Variable Information'!$A$2:$E$480,5,FALSE)</f>
        <v>#N/A</v>
      </c>
      <c r="B588" s="36" t="e">
        <f>VLOOKUP($C588,'Variable Information'!$A$1:$C$480,3,FALSE)</f>
        <v>#N/A</v>
      </c>
      <c r="C588" s="35"/>
      <c r="D588" s="30" t="s">
        <v>1449</v>
      </c>
      <c r="E588" s="15" t="s">
        <v>1449</v>
      </c>
    </row>
    <row r="589" spans="1:5" x14ac:dyDescent="0.25">
      <c r="A589" s="36" t="e">
        <f>VLOOKUP($C589,'Variable Information'!$A$2:$E$480,5,FALSE)</f>
        <v>#N/A</v>
      </c>
      <c r="B589" s="36" t="e">
        <f>VLOOKUP($C589,'Variable Information'!$A$1:$C$480,3,FALSE)</f>
        <v>#N/A</v>
      </c>
      <c r="C589" s="35"/>
      <c r="D589" s="30" t="s">
        <v>1451</v>
      </c>
      <c r="E589" s="15" t="s">
        <v>1451</v>
      </c>
    </row>
    <row r="590" spans="1:5" x14ac:dyDescent="0.25">
      <c r="A590" s="36" t="e">
        <f>VLOOKUP($C590,'Variable Information'!$A$2:$E$480,5,FALSE)</f>
        <v>#N/A</v>
      </c>
      <c r="B590" s="36" t="e">
        <f>VLOOKUP($C590,'Variable Information'!$A$1:$C$480,3,FALSE)</f>
        <v>#N/A</v>
      </c>
      <c r="C590" s="35"/>
      <c r="D590" s="30" t="s">
        <v>1456</v>
      </c>
      <c r="E590" s="15" t="s">
        <v>1456</v>
      </c>
    </row>
    <row r="591" spans="1:5" x14ac:dyDescent="0.25">
      <c r="A591" s="36" t="e">
        <f>VLOOKUP($C591,'Variable Information'!$A$2:$E$480,5,FALSE)</f>
        <v>#N/A</v>
      </c>
      <c r="B591" s="36" t="e">
        <f>VLOOKUP($C591,'Variable Information'!$A$1:$C$480,3,FALSE)</f>
        <v>#N/A</v>
      </c>
      <c r="C591" s="35"/>
      <c r="D591" s="30" t="s">
        <v>1458</v>
      </c>
      <c r="E591" s="15" t="s">
        <v>1458</v>
      </c>
    </row>
    <row r="592" spans="1:5" x14ac:dyDescent="0.25">
      <c r="A592" s="36" t="e">
        <f>VLOOKUP($C592,'Variable Information'!$A$2:$E$480,5,FALSE)</f>
        <v>#N/A</v>
      </c>
      <c r="B592" s="36" t="e">
        <f>VLOOKUP($C592,'Variable Information'!$A$1:$C$480,3,FALSE)</f>
        <v>#N/A</v>
      </c>
      <c r="C592" s="35"/>
      <c r="D592" s="30" t="s">
        <v>1460</v>
      </c>
      <c r="E592" s="15" t="s">
        <v>1460</v>
      </c>
    </row>
    <row r="593" spans="1:5" x14ac:dyDescent="0.25">
      <c r="A593" s="36" t="e">
        <f>VLOOKUP($C593,'Variable Information'!$A$2:$E$480,5,FALSE)</f>
        <v>#N/A</v>
      </c>
      <c r="B593" s="36" t="e">
        <f>VLOOKUP($C593,'Variable Information'!$A$1:$C$480,3,FALSE)</f>
        <v>#N/A</v>
      </c>
      <c r="C593" s="35"/>
      <c r="D593" s="30" t="s">
        <v>1462</v>
      </c>
      <c r="E593" s="15" t="s">
        <v>1462</v>
      </c>
    </row>
    <row r="594" spans="1:5" x14ac:dyDescent="0.25">
      <c r="A594" s="36" t="e">
        <f>VLOOKUP($C594,'Variable Information'!$A$2:$E$480,5,FALSE)</f>
        <v>#N/A</v>
      </c>
      <c r="B594" s="36" t="e">
        <f>VLOOKUP($C594,'Variable Information'!$A$1:$C$480,3,FALSE)</f>
        <v>#N/A</v>
      </c>
      <c r="C594" s="35"/>
      <c r="D594" s="30" t="s">
        <v>1471</v>
      </c>
      <c r="E594" s="15" t="s">
        <v>1471</v>
      </c>
    </row>
    <row r="595" spans="1:5" x14ac:dyDescent="0.25">
      <c r="A595" s="36" t="e">
        <f>VLOOKUP($C595,'Variable Information'!$A$2:$E$480,5,FALSE)</f>
        <v>#N/A</v>
      </c>
      <c r="B595" s="36" t="e">
        <f>VLOOKUP($C595,'Variable Information'!$A$1:$C$480,3,FALSE)</f>
        <v>#N/A</v>
      </c>
      <c r="C595" s="35"/>
      <c r="D595" s="30" t="s">
        <v>1473</v>
      </c>
      <c r="E595" s="15" t="s">
        <v>1473</v>
      </c>
    </row>
    <row r="596" spans="1:5" x14ac:dyDescent="0.25">
      <c r="A596" s="36" t="e">
        <f>VLOOKUP($C596,'Variable Information'!$A$2:$E$480,5,FALSE)</f>
        <v>#N/A</v>
      </c>
      <c r="B596" s="36" t="e">
        <f>VLOOKUP($C596,'Variable Information'!$A$1:$C$480,3,FALSE)</f>
        <v>#N/A</v>
      </c>
      <c r="C596" s="35"/>
      <c r="D596" s="30" t="s">
        <v>1475</v>
      </c>
      <c r="E596" s="15" t="s">
        <v>1475</v>
      </c>
    </row>
    <row r="597" spans="1:5" x14ac:dyDescent="0.25">
      <c r="A597" s="36" t="e">
        <f>VLOOKUP($C597,'Variable Information'!$A$2:$E$480,5,FALSE)</f>
        <v>#N/A</v>
      </c>
      <c r="B597" s="36" t="e">
        <f>VLOOKUP($C597,'Variable Information'!$A$1:$C$480,3,FALSE)</f>
        <v>#N/A</v>
      </c>
      <c r="C597" s="35"/>
      <c r="D597" s="30" t="s">
        <v>1477</v>
      </c>
      <c r="E597" s="15" t="s">
        <v>1477</v>
      </c>
    </row>
    <row r="598" spans="1:5" x14ac:dyDescent="0.25">
      <c r="A598" s="36" t="e">
        <f>VLOOKUP($C598,'Variable Information'!$A$2:$E$480,5,FALSE)</f>
        <v>#N/A</v>
      </c>
      <c r="B598" s="36" t="e">
        <f>VLOOKUP($C598,'Variable Information'!$A$1:$C$480,3,FALSE)</f>
        <v>#N/A</v>
      </c>
      <c r="C598" s="35"/>
      <c r="D598" s="30" t="s">
        <v>1503</v>
      </c>
      <c r="E598" s="15" t="s">
        <v>1503</v>
      </c>
    </row>
    <row r="599" spans="1:5" x14ac:dyDescent="0.25">
      <c r="A599" s="36" t="e">
        <f>VLOOKUP($C599,'Variable Information'!$A$2:$E$480,5,FALSE)</f>
        <v>#N/A</v>
      </c>
      <c r="B599" s="36" t="e">
        <f>VLOOKUP($C599,'Variable Information'!$A$1:$C$480,3,FALSE)</f>
        <v>#N/A</v>
      </c>
      <c r="C599" s="35"/>
      <c r="D599" s="30" t="s">
        <v>1524</v>
      </c>
      <c r="E599" s="15" t="s">
        <v>1524</v>
      </c>
    </row>
    <row r="600" spans="1:5" x14ac:dyDescent="0.25">
      <c r="A600" s="36" t="str">
        <f>VLOOKUP($C600,'Variable Information'!$A$2:$E$480,5,FALSE)</f>
        <v>AJP_D2_rank</v>
      </c>
      <c r="B600" s="36" t="str">
        <f>VLOOKUP($C600,'Variable Information'!$A$1:$C$480,3,FALSE)</f>
        <v>Q23_4_4_2. Issue ranking - Property-related issues such as damage by tenants or access to property</v>
      </c>
      <c r="C600" s="35" t="s">
        <v>419</v>
      </c>
      <c r="D600" s="30" t="s">
        <v>1447</v>
      </c>
      <c r="E600" s="15" t="s">
        <v>1447</v>
      </c>
    </row>
    <row r="601" spans="1:5" x14ac:dyDescent="0.25">
      <c r="A601" s="36" t="e">
        <f>VLOOKUP($C601,'Variable Information'!$A$2:$E$480,5,FALSE)</f>
        <v>#N/A</v>
      </c>
      <c r="B601" s="36" t="e">
        <f>VLOOKUP($C601,'Variable Information'!$A$1:$C$480,3,FALSE)</f>
        <v>#N/A</v>
      </c>
      <c r="C601" s="35"/>
      <c r="D601" s="30" t="s">
        <v>1449</v>
      </c>
      <c r="E601" s="15" t="s">
        <v>1449</v>
      </c>
    </row>
    <row r="602" spans="1:5" x14ac:dyDescent="0.25">
      <c r="A602" s="36" t="e">
        <f>VLOOKUP($C602,'Variable Information'!$A$2:$E$480,5,FALSE)</f>
        <v>#N/A</v>
      </c>
      <c r="B602" s="36" t="e">
        <f>VLOOKUP($C602,'Variable Information'!$A$1:$C$480,3,FALSE)</f>
        <v>#N/A</v>
      </c>
      <c r="C602" s="35"/>
      <c r="D602" s="30" t="s">
        <v>1451</v>
      </c>
      <c r="E602" s="15" t="s">
        <v>1451</v>
      </c>
    </row>
    <row r="603" spans="1:5" x14ac:dyDescent="0.25">
      <c r="A603" s="36" t="e">
        <f>VLOOKUP($C603,'Variable Information'!$A$2:$E$480,5,FALSE)</f>
        <v>#N/A</v>
      </c>
      <c r="B603" s="36" t="e">
        <f>VLOOKUP($C603,'Variable Information'!$A$1:$C$480,3,FALSE)</f>
        <v>#N/A</v>
      </c>
      <c r="C603" s="35"/>
      <c r="D603" s="30" t="s">
        <v>1456</v>
      </c>
      <c r="E603" s="15" t="s">
        <v>1456</v>
      </c>
    </row>
    <row r="604" spans="1:5" x14ac:dyDescent="0.25">
      <c r="A604" s="36" t="e">
        <f>VLOOKUP($C604,'Variable Information'!$A$2:$E$480,5,FALSE)</f>
        <v>#N/A</v>
      </c>
      <c r="B604" s="36" t="e">
        <f>VLOOKUP($C604,'Variable Information'!$A$1:$C$480,3,FALSE)</f>
        <v>#N/A</v>
      </c>
      <c r="C604" s="35"/>
      <c r="D604" s="30" t="s">
        <v>1458</v>
      </c>
      <c r="E604" s="15" t="s">
        <v>1458</v>
      </c>
    </row>
    <row r="605" spans="1:5" x14ac:dyDescent="0.25">
      <c r="A605" s="36" t="e">
        <f>VLOOKUP($C605,'Variable Information'!$A$2:$E$480,5,FALSE)</f>
        <v>#N/A</v>
      </c>
      <c r="B605" s="36" t="e">
        <f>VLOOKUP($C605,'Variable Information'!$A$1:$C$480,3,FALSE)</f>
        <v>#N/A</v>
      </c>
      <c r="C605" s="35"/>
      <c r="D605" s="30" t="s">
        <v>1460</v>
      </c>
      <c r="E605" s="15" t="s">
        <v>1460</v>
      </c>
    </row>
    <row r="606" spans="1:5" x14ac:dyDescent="0.25">
      <c r="A606" s="36" t="e">
        <f>VLOOKUP($C606,'Variable Information'!$A$2:$E$480,5,FALSE)</f>
        <v>#N/A</v>
      </c>
      <c r="B606" s="36" t="e">
        <f>VLOOKUP($C606,'Variable Information'!$A$1:$C$480,3,FALSE)</f>
        <v>#N/A</v>
      </c>
      <c r="C606" s="35"/>
      <c r="D606" s="30" t="s">
        <v>1462</v>
      </c>
      <c r="E606" s="15" t="s">
        <v>1462</v>
      </c>
    </row>
    <row r="607" spans="1:5" x14ac:dyDescent="0.25">
      <c r="A607" s="36" t="e">
        <f>VLOOKUP($C607,'Variable Information'!$A$2:$E$480,5,FALSE)</f>
        <v>#N/A</v>
      </c>
      <c r="B607" s="36" t="e">
        <f>VLOOKUP($C607,'Variable Information'!$A$1:$C$480,3,FALSE)</f>
        <v>#N/A</v>
      </c>
      <c r="C607" s="35"/>
      <c r="D607" s="30" t="s">
        <v>1471</v>
      </c>
      <c r="E607" s="15" t="s">
        <v>1471</v>
      </c>
    </row>
    <row r="608" spans="1:5" x14ac:dyDescent="0.25">
      <c r="A608" s="36" t="e">
        <f>VLOOKUP($C608,'Variable Information'!$A$2:$E$480,5,FALSE)</f>
        <v>#N/A</v>
      </c>
      <c r="B608" s="36" t="e">
        <f>VLOOKUP($C608,'Variable Information'!$A$1:$C$480,3,FALSE)</f>
        <v>#N/A</v>
      </c>
      <c r="C608" s="35"/>
      <c r="D608" s="30" t="s">
        <v>1473</v>
      </c>
      <c r="E608" s="15" t="s">
        <v>1473</v>
      </c>
    </row>
    <row r="609" spans="1:5" x14ac:dyDescent="0.25">
      <c r="A609" s="36" t="e">
        <f>VLOOKUP($C609,'Variable Information'!$A$2:$E$480,5,FALSE)</f>
        <v>#N/A</v>
      </c>
      <c r="B609" s="36" t="e">
        <f>VLOOKUP($C609,'Variable Information'!$A$1:$C$480,3,FALSE)</f>
        <v>#N/A</v>
      </c>
      <c r="C609" s="35"/>
      <c r="D609" s="30" t="s">
        <v>1475</v>
      </c>
      <c r="E609" s="15" t="s">
        <v>1475</v>
      </c>
    </row>
    <row r="610" spans="1:5" x14ac:dyDescent="0.25">
      <c r="A610" s="36" t="e">
        <f>VLOOKUP($C610,'Variable Information'!$A$2:$E$480,5,FALSE)</f>
        <v>#N/A</v>
      </c>
      <c r="B610" s="36" t="e">
        <f>VLOOKUP($C610,'Variable Information'!$A$1:$C$480,3,FALSE)</f>
        <v>#N/A</v>
      </c>
      <c r="C610" s="35"/>
      <c r="D610" s="30" t="s">
        <v>1477</v>
      </c>
      <c r="E610" s="15" t="s">
        <v>1477</v>
      </c>
    </row>
    <row r="611" spans="1:5" x14ac:dyDescent="0.25">
      <c r="A611" s="36" t="e">
        <f>VLOOKUP($C611,'Variable Information'!$A$2:$E$480,5,FALSE)</f>
        <v>#N/A</v>
      </c>
      <c r="B611" s="36" t="e">
        <f>VLOOKUP($C611,'Variable Information'!$A$1:$C$480,3,FALSE)</f>
        <v>#N/A</v>
      </c>
      <c r="C611" s="35"/>
      <c r="D611" s="30" t="s">
        <v>1503</v>
      </c>
      <c r="E611" s="15" t="s">
        <v>1503</v>
      </c>
    </row>
    <row r="612" spans="1:5" x14ac:dyDescent="0.25">
      <c r="A612" s="36" t="e">
        <f>VLOOKUP($C612,'Variable Information'!$A$2:$E$480,5,FALSE)</f>
        <v>#N/A</v>
      </c>
      <c r="B612" s="36" t="e">
        <f>VLOOKUP($C612,'Variable Information'!$A$1:$C$480,3,FALSE)</f>
        <v>#N/A</v>
      </c>
      <c r="C612" s="35"/>
      <c r="D612" s="30" t="s">
        <v>1524</v>
      </c>
      <c r="E612" s="15" t="s">
        <v>1524</v>
      </c>
    </row>
    <row r="613" spans="1:5" x14ac:dyDescent="0.25">
      <c r="A613" s="36" t="str">
        <f>VLOOKUP($C613,'Variable Information'!$A$2:$E$480,5,FALSE)</f>
        <v>AJP_D3_rank</v>
      </c>
      <c r="B613" s="36" t="str">
        <f>VLOOKUP($C613,'Variable Information'!$A$1:$C$480,3,FALSE)</f>
        <v>Q23_4_4_3. Issue ranking - Issues with tenants such as evictions or complaints</v>
      </c>
      <c r="C613" s="35" t="s">
        <v>422</v>
      </c>
      <c r="D613" s="30" t="s">
        <v>1447</v>
      </c>
      <c r="E613" s="15" t="s">
        <v>1447</v>
      </c>
    </row>
    <row r="614" spans="1:5" x14ac:dyDescent="0.25">
      <c r="A614" s="36" t="e">
        <f>VLOOKUP($C614,'Variable Information'!$A$2:$E$480,5,FALSE)</f>
        <v>#N/A</v>
      </c>
      <c r="B614" s="36" t="e">
        <f>VLOOKUP($C614,'Variable Information'!$A$1:$C$480,3,FALSE)</f>
        <v>#N/A</v>
      </c>
      <c r="C614" s="35"/>
      <c r="D614" s="30" t="s">
        <v>1449</v>
      </c>
      <c r="E614" s="15" t="s">
        <v>1449</v>
      </c>
    </row>
    <row r="615" spans="1:5" x14ac:dyDescent="0.25">
      <c r="A615" s="36" t="e">
        <f>VLOOKUP($C615,'Variable Information'!$A$2:$E$480,5,FALSE)</f>
        <v>#N/A</v>
      </c>
      <c r="B615" s="36" t="e">
        <f>VLOOKUP($C615,'Variable Information'!$A$1:$C$480,3,FALSE)</f>
        <v>#N/A</v>
      </c>
      <c r="C615" s="35"/>
      <c r="D615" s="30" t="s">
        <v>1451</v>
      </c>
      <c r="E615" s="15" t="s">
        <v>1451</v>
      </c>
    </row>
    <row r="616" spans="1:5" x14ac:dyDescent="0.25">
      <c r="A616" s="36" t="e">
        <f>VLOOKUP($C616,'Variable Information'!$A$2:$E$480,5,FALSE)</f>
        <v>#N/A</v>
      </c>
      <c r="B616" s="36" t="e">
        <f>VLOOKUP($C616,'Variable Information'!$A$1:$C$480,3,FALSE)</f>
        <v>#N/A</v>
      </c>
      <c r="C616" s="35"/>
      <c r="D616" s="30" t="s">
        <v>1456</v>
      </c>
      <c r="E616" s="15" t="s">
        <v>1456</v>
      </c>
    </row>
    <row r="617" spans="1:5" x14ac:dyDescent="0.25">
      <c r="A617" s="36" t="e">
        <f>VLOOKUP($C617,'Variable Information'!$A$2:$E$480,5,FALSE)</f>
        <v>#N/A</v>
      </c>
      <c r="B617" s="36" t="e">
        <f>VLOOKUP($C617,'Variable Information'!$A$1:$C$480,3,FALSE)</f>
        <v>#N/A</v>
      </c>
      <c r="C617" s="35"/>
      <c r="D617" s="30" t="s">
        <v>1458</v>
      </c>
      <c r="E617" s="15" t="s">
        <v>1458</v>
      </c>
    </row>
    <row r="618" spans="1:5" x14ac:dyDescent="0.25">
      <c r="A618" s="36" t="e">
        <f>VLOOKUP($C618,'Variable Information'!$A$2:$E$480,5,FALSE)</f>
        <v>#N/A</v>
      </c>
      <c r="B618" s="36" t="e">
        <f>VLOOKUP($C618,'Variable Information'!$A$1:$C$480,3,FALSE)</f>
        <v>#N/A</v>
      </c>
      <c r="C618" s="35"/>
      <c r="D618" s="30" t="s">
        <v>1460</v>
      </c>
      <c r="E618" s="15" t="s">
        <v>1460</v>
      </c>
    </row>
    <row r="619" spans="1:5" x14ac:dyDescent="0.25">
      <c r="A619" s="36" t="e">
        <f>VLOOKUP($C619,'Variable Information'!$A$2:$E$480,5,FALSE)</f>
        <v>#N/A</v>
      </c>
      <c r="B619" s="36" t="e">
        <f>VLOOKUP($C619,'Variable Information'!$A$1:$C$480,3,FALSE)</f>
        <v>#N/A</v>
      </c>
      <c r="C619" s="35"/>
      <c r="D619" s="30" t="s">
        <v>1462</v>
      </c>
      <c r="E619" s="15" t="s">
        <v>1462</v>
      </c>
    </row>
    <row r="620" spans="1:5" x14ac:dyDescent="0.25">
      <c r="A620" s="36" t="e">
        <f>VLOOKUP($C620,'Variable Information'!$A$2:$E$480,5,FALSE)</f>
        <v>#N/A</v>
      </c>
      <c r="B620" s="36" t="e">
        <f>VLOOKUP($C620,'Variable Information'!$A$1:$C$480,3,FALSE)</f>
        <v>#N/A</v>
      </c>
      <c r="C620" s="35"/>
      <c r="D620" s="30" t="s">
        <v>1471</v>
      </c>
      <c r="E620" s="15" t="s">
        <v>1471</v>
      </c>
    </row>
    <row r="621" spans="1:5" x14ac:dyDescent="0.25">
      <c r="A621" s="36" t="e">
        <f>VLOOKUP($C621,'Variable Information'!$A$2:$E$480,5,FALSE)</f>
        <v>#N/A</v>
      </c>
      <c r="B621" s="36" t="e">
        <f>VLOOKUP($C621,'Variable Information'!$A$1:$C$480,3,FALSE)</f>
        <v>#N/A</v>
      </c>
      <c r="C621" s="35"/>
      <c r="D621" s="30" t="s">
        <v>1473</v>
      </c>
      <c r="E621" s="15" t="s">
        <v>1473</v>
      </c>
    </row>
    <row r="622" spans="1:5" x14ac:dyDescent="0.25">
      <c r="A622" s="36" t="e">
        <f>VLOOKUP($C622,'Variable Information'!$A$2:$E$480,5,FALSE)</f>
        <v>#N/A</v>
      </c>
      <c r="B622" s="36" t="e">
        <f>VLOOKUP($C622,'Variable Information'!$A$1:$C$480,3,FALSE)</f>
        <v>#N/A</v>
      </c>
      <c r="C622" s="35"/>
      <c r="D622" s="30" t="s">
        <v>1475</v>
      </c>
      <c r="E622" s="15" t="s">
        <v>1475</v>
      </c>
    </row>
    <row r="623" spans="1:5" x14ac:dyDescent="0.25">
      <c r="A623" s="36" t="e">
        <f>VLOOKUP($C623,'Variable Information'!$A$2:$E$480,5,FALSE)</f>
        <v>#N/A</v>
      </c>
      <c r="B623" s="36" t="e">
        <f>VLOOKUP($C623,'Variable Information'!$A$1:$C$480,3,FALSE)</f>
        <v>#N/A</v>
      </c>
      <c r="C623" s="35"/>
      <c r="D623" s="30" t="s">
        <v>1477</v>
      </c>
      <c r="E623" s="15" t="s">
        <v>1477</v>
      </c>
    </row>
    <row r="624" spans="1:5" x14ac:dyDescent="0.25">
      <c r="A624" s="36" t="e">
        <f>VLOOKUP($C624,'Variable Information'!$A$2:$E$480,5,FALSE)</f>
        <v>#N/A</v>
      </c>
      <c r="B624" s="36" t="e">
        <f>VLOOKUP($C624,'Variable Information'!$A$1:$C$480,3,FALSE)</f>
        <v>#N/A</v>
      </c>
      <c r="C624" s="35"/>
      <c r="D624" s="30" t="s">
        <v>1503</v>
      </c>
      <c r="E624" s="15" t="s">
        <v>1503</v>
      </c>
    </row>
    <row r="625" spans="1:5" x14ac:dyDescent="0.25">
      <c r="A625" s="36" t="e">
        <f>VLOOKUP($C625,'Variable Information'!$A$2:$E$480,5,FALSE)</f>
        <v>#N/A</v>
      </c>
      <c r="B625" s="36" t="e">
        <f>VLOOKUP($C625,'Variable Information'!$A$1:$C$480,3,FALSE)</f>
        <v>#N/A</v>
      </c>
      <c r="C625" s="35"/>
      <c r="D625" s="30" t="s">
        <v>1524</v>
      </c>
      <c r="E625" s="15" t="s">
        <v>1524</v>
      </c>
    </row>
    <row r="626" spans="1:5" x14ac:dyDescent="0.25">
      <c r="A626" s="36" t="str">
        <f>VLOOKUP($C626,'Variable Information'!$A$2:$E$480,5,FALSE)</f>
        <v>AJP_E1_rank</v>
      </c>
      <c r="B626" s="36" t="str">
        <f>VLOOKUP($C626,'Variable Information'!$A$1:$C$480,3,FALSE)</f>
        <v>Q23_4_5_1. Issue ranking - Building/planning related disputes</v>
      </c>
      <c r="C626" s="35" t="s">
        <v>425</v>
      </c>
      <c r="D626" s="30" t="s">
        <v>1447</v>
      </c>
      <c r="E626" s="15" t="s">
        <v>1447</v>
      </c>
    </row>
    <row r="627" spans="1:5" x14ac:dyDescent="0.25">
      <c r="A627" s="36" t="e">
        <f>VLOOKUP($C627,'Variable Information'!$A$2:$E$480,5,FALSE)</f>
        <v>#N/A</v>
      </c>
      <c r="B627" s="36" t="e">
        <f>VLOOKUP($C627,'Variable Information'!$A$1:$C$480,3,FALSE)</f>
        <v>#N/A</v>
      </c>
      <c r="C627" s="35"/>
      <c r="D627" s="30" t="s">
        <v>1449</v>
      </c>
      <c r="E627" s="15" t="s">
        <v>1449</v>
      </c>
    </row>
    <row r="628" spans="1:5" x14ac:dyDescent="0.25">
      <c r="A628" s="36" t="e">
        <f>VLOOKUP($C628,'Variable Information'!$A$2:$E$480,5,FALSE)</f>
        <v>#N/A</v>
      </c>
      <c r="B628" s="36" t="e">
        <f>VLOOKUP($C628,'Variable Information'!$A$1:$C$480,3,FALSE)</f>
        <v>#N/A</v>
      </c>
      <c r="C628" s="35"/>
      <c r="D628" s="30" t="s">
        <v>1451</v>
      </c>
      <c r="E628" s="15" t="s">
        <v>1451</v>
      </c>
    </row>
    <row r="629" spans="1:5" x14ac:dyDescent="0.25">
      <c r="A629" s="36" t="e">
        <f>VLOOKUP($C629,'Variable Information'!$A$2:$E$480,5,FALSE)</f>
        <v>#N/A</v>
      </c>
      <c r="B629" s="36" t="e">
        <f>VLOOKUP($C629,'Variable Information'!$A$1:$C$480,3,FALSE)</f>
        <v>#N/A</v>
      </c>
      <c r="C629" s="35"/>
      <c r="D629" s="30" t="s">
        <v>1456</v>
      </c>
      <c r="E629" s="15" t="s">
        <v>1456</v>
      </c>
    </row>
    <row r="630" spans="1:5" x14ac:dyDescent="0.25">
      <c r="A630" s="36" t="e">
        <f>VLOOKUP($C630,'Variable Information'!$A$2:$E$480,5,FALSE)</f>
        <v>#N/A</v>
      </c>
      <c r="B630" s="36" t="e">
        <f>VLOOKUP($C630,'Variable Information'!$A$1:$C$480,3,FALSE)</f>
        <v>#N/A</v>
      </c>
      <c r="C630" s="35"/>
      <c r="D630" s="30" t="s">
        <v>1458</v>
      </c>
      <c r="E630" s="15" t="s">
        <v>1458</v>
      </c>
    </row>
    <row r="631" spans="1:5" x14ac:dyDescent="0.25">
      <c r="A631" s="36" t="e">
        <f>VLOOKUP($C631,'Variable Information'!$A$2:$E$480,5,FALSE)</f>
        <v>#N/A</v>
      </c>
      <c r="B631" s="36" t="e">
        <f>VLOOKUP($C631,'Variable Information'!$A$1:$C$480,3,FALSE)</f>
        <v>#N/A</v>
      </c>
      <c r="C631" s="35"/>
      <c r="D631" s="30" t="s">
        <v>1460</v>
      </c>
      <c r="E631" s="15" t="s">
        <v>1460</v>
      </c>
    </row>
    <row r="632" spans="1:5" x14ac:dyDescent="0.25">
      <c r="A632" s="36" t="e">
        <f>VLOOKUP($C632,'Variable Information'!$A$2:$E$480,5,FALSE)</f>
        <v>#N/A</v>
      </c>
      <c r="B632" s="36" t="e">
        <f>VLOOKUP($C632,'Variable Information'!$A$1:$C$480,3,FALSE)</f>
        <v>#N/A</v>
      </c>
      <c r="C632" s="35"/>
      <c r="D632" s="30" t="s">
        <v>1462</v>
      </c>
      <c r="E632" s="15" t="s">
        <v>1462</v>
      </c>
    </row>
    <row r="633" spans="1:5" x14ac:dyDescent="0.25">
      <c r="A633" s="36" t="e">
        <f>VLOOKUP($C633,'Variable Information'!$A$2:$E$480,5,FALSE)</f>
        <v>#N/A</v>
      </c>
      <c r="B633" s="36" t="e">
        <f>VLOOKUP($C633,'Variable Information'!$A$1:$C$480,3,FALSE)</f>
        <v>#N/A</v>
      </c>
      <c r="C633" s="35"/>
      <c r="D633" s="30" t="s">
        <v>1471</v>
      </c>
      <c r="E633" s="15" t="s">
        <v>1471</v>
      </c>
    </row>
    <row r="634" spans="1:5" x14ac:dyDescent="0.25">
      <c r="A634" s="36" t="e">
        <f>VLOOKUP($C634,'Variable Information'!$A$2:$E$480,5,FALSE)</f>
        <v>#N/A</v>
      </c>
      <c r="B634" s="36" t="e">
        <f>VLOOKUP($C634,'Variable Information'!$A$1:$C$480,3,FALSE)</f>
        <v>#N/A</v>
      </c>
      <c r="C634" s="35"/>
      <c r="D634" s="30" t="s">
        <v>1473</v>
      </c>
      <c r="E634" s="15" t="s">
        <v>1473</v>
      </c>
    </row>
    <row r="635" spans="1:5" x14ac:dyDescent="0.25">
      <c r="A635" s="36" t="e">
        <f>VLOOKUP($C635,'Variable Information'!$A$2:$E$480,5,FALSE)</f>
        <v>#N/A</v>
      </c>
      <c r="B635" s="36" t="e">
        <f>VLOOKUP($C635,'Variable Information'!$A$1:$C$480,3,FALSE)</f>
        <v>#N/A</v>
      </c>
      <c r="C635" s="35"/>
      <c r="D635" s="30" t="s">
        <v>1475</v>
      </c>
      <c r="E635" s="15" t="s">
        <v>1475</v>
      </c>
    </row>
    <row r="636" spans="1:5" x14ac:dyDescent="0.25">
      <c r="A636" s="36" t="e">
        <f>VLOOKUP($C636,'Variable Information'!$A$2:$E$480,5,FALSE)</f>
        <v>#N/A</v>
      </c>
      <c r="B636" s="36" t="e">
        <f>VLOOKUP($C636,'Variable Information'!$A$1:$C$480,3,FALSE)</f>
        <v>#N/A</v>
      </c>
      <c r="C636" s="35"/>
      <c r="D636" s="30" t="s">
        <v>1477</v>
      </c>
      <c r="E636" s="15" t="s">
        <v>1477</v>
      </c>
    </row>
    <row r="637" spans="1:5" x14ac:dyDescent="0.25">
      <c r="A637" s="36" t="e">
        <f>VLOOKUP($C637,'Variable Information'!$A$2:$E$480,5,FALSE)</f>
        <v>#N/A</v>
      </c>
      <c r="B637" s="36" t="e">
        <f>VLOOKUP($C637,'Variable Information'!$A$1:$C$480,3,FALSE)</f>
        <v>#N/A</v>
      </c>
      <c r="C637" s="35"/>
      <c r="D637" s="30" t="s">
        <v>1503</v>
      </c>
      <c r="E637" s="15" t="s">
        <v>1503</v>
      </c>
    </row>
    <row r="638" spans="1:5" x14ac:dyDescent="0.25">
      <c r="A638" s="36" t="e">
        <f>VLOOKUP($C638,'Variable Information'!$A$2:$E$480,5,FALSE)</f>
        <v>#N/A</v>
      </c>
      <c r="B638" s="36" t="e">
        <f>VLOOKUP($C638,'Variable Information'!$A$1:$C$480,3,FALSE)</f>
        <v>#N/A</v>
      </c>
      <c r="C638" s="35"/>
      <c r="D638" s="30" t="s">
        <v>1524</v>
      </c>
      <c r="E638" s="15" t="s">
        <v>1524</v>
      </c>
    </row>
    <row r="639" spans="1:5" x14ac:dyDescent="0.25">
      <c r="A639" s="36" t="str">
        <f>VLOOKUP($C639,'Variable Information'!$A$2:$E$480,5,FALSE)</f>
        <v>AJP_E2_rank</v>
      </c>
      <c r="B639" s="36" t="str">
        <f>VLOOKUP($C639,'Variable Information'!$A$1:$C$480,3,FALSE)</f>
        <v>Q23_4_5_2. Issue ranking - Issues with builders/tradespeople about the quality of construction or repairs or disputes about costs</v>
      </c>
      <c r="C639" s="35" t="s">
        <v>428</v>
      </c>
      <c r="D639" s="30" t="s">
        <v>1447</v>
      </c>
      <c r="E639" s="15" t="s">
        <v>1447</v>
      </c>
    </row>
    <row r="640" spans="1:5" x14ac:dyDescent="0.25">
      <c r="A640" s="36" t="e">
        <f>VLOOKUP($C640,'Variable Information'!$A$2:$E$480,5,FALSE)</f>
        <v>#N/A</v>
      </c>
      <c r="B640" s="36" t="e">
        <f>VLOOKUP($C640,'Variable Information'!$A$1:$C$480,3,FALSE)</f>
        <v>#N/A</v>
      </c>
      <c r="C640" s="35"/>
      <c r="D640" s="30" t="s">
        <v>1449</v>
      </c>
      <c r="E640" s="15" t="s">
        <v>1449</v>
      </c>
    </row>
    <row r="641" spans="1:5" x14ac:dyDescent="0.25">
      <c r="A641" s="36" t="e">
        <f>VLOOKUP($C641,'Variable Information'!$A$2:$E$480,5,FALSE)</f>
        <v>#N/A</v>
      </c>
      <c r="B641" s="36" t="e">
        <f>VLOOKUP($C641,'Variable Information'!$A$1:$C$480,3,FALSE)</f>
        <v>#N/A</v>
      </c>
      <c r="C641" s="35"/>
      <c r="D641" s="30" t="s">
        <v>1451</v>
      </c>
      <c r="E641" s="15" t="s">
        <v>1451</v>
      </c>
    </row>
    <row r="642" spans="1:5" x14ac:dyDescent="0.25">
      <c r="A642" s="36" t="e">
        <f>VLOOKUP($C642,'Variable Information'!$A$2:$E$480,5,FALSE)</f>
        <v>#N/A</v>
      </c>
      <c r="B642" s="36" t="e">
        <f>VLOOKUP($C642,'Variable Information'!$A$1:$C$480,3,FALSE)</f>
        <v>#N/A</v>
      </c>
      <c r="C642" s="35"/>
      <c r="D642" s="30" t="s">
        <v>1456</v>
      </c>
      <c r="E642" s="15" t="s">
        <v>1456</v>
      </c>
    </row>
    <row r="643" spans="1:5" x14ac:dyDescent="0.25">
      <c r="A643" s="36" t="e">
        <f>VLOOKUP($C643,'Variable Information'!$A$2:$E$480,5,FALSE)</f>
        <v>#N/A</v>
      </c>
      <c r="B643" s="36" t="e">
        <f>VLOOKUP($C643,'Variable Information'!$A$1:$C$480,3,FALSE)</f>
        <v>#N/A</v>
      </c>
      <c r="C643" s="35"/>
      <c r="D643" s="30" t="s">
        <v>1458</v>
      </c>
      <c r="E643" s="15" t="s">
        <v>1458</v>
      </c>
    </row>
    <row r="644" spans="1:5" x14ac:dyDescent="0.25">
      <c r="A644" s="36" t="e">
        <f>VLOOKUP($C644,'Variable Information'!$A$2:$E$480,5,FALSE)</f>
        <v>#N/A</v>
      </c>
      <c r="B644" s="36" t="e">
        <f>VLOOKUP($C644,'Variable Information'!$A$1:$C$480,3,FALSE)</f>
        <v>#N/A</v>
      </c>
      <c r="C644" s="35"/>
      <c r="D644" s="30" t="s">
        <v>1460</v>
      </c>
      <c r="E644" s="15" t="s">
        <v>1460</v>
      </c>
    </row>
    <row r="645" spans="1:5" x14ac:dyDescent="0.25">
      <c r="A645" s="36" t="e">
        <f>VLOOKUP($C645,'Variable Information'!$A$2:$E$480,5,FALSE)</f>
        <v>#N/A</v>
      </c>
      <c r="B645" s="36" t="e">
        <f>VLOOKUP($C645,'Variable Information'!$A$1:$C$480,3,FALSE)</f>
        <v>#N/A</v>
      </c>
      <c r="C645" s="35"/>
      <c r="D645" s="30" t="s">
        <v>1462</v>
      </c>
      <c r="E645" s="15" t="s">
        <v>1462</v>
      </c>
    </row>
    <row r="646" spans="1:5" x14ac:dyDescent="0.25">
      <c r="A646" s="36" t="e">
        <f>VLOOKUP($C646,'Variable Information'!$A$2:$E$480,5,FALSE)</f>
        <v>#N/A</v>
      </c>
      <c r="B646" s="36" t="e">
        <f>VLOOKUP($C646,'Variable Information'!$A$1:$C$480,3,FALSE)</f>
        <v>#N/A</v>
      </c>
      <c r="C646" s="35"/>
      <c r="D646" s="30" t="s">
        <v>1471</v>
      </c>
      <c r="E646" s="15" t="s">
        <v>1471</v>
      </c>
    </row>
    <row r="647" spans="1:5" x14ac:dyDescent="0.25">
      <c r="A647" s="36" t="e">
        <f>VLOOKUP($C647,'Variable Information'!$A$2:$E$480,5,FALSE)</f>
        <v>#N/A</v>
      </c>
      <c r="B647" s="36" t="e">
        <f>VLOOKUP($C647,'Variable Information'!$A$1:$C$480,3,FALSE)</f>
        <v>#N/A</v>
      </c>
      <c r="C647" s="35"/>
      <c r="D647" s="30" t="s">
        <v>1473</v>
      </c>
      <c r="E647" s="15" t="s">
        <v>1473</v>
      </c>
    </row>
    <row r="648" spans="1:5" x14ac:dyDescent="0.25">
      <c r="A648" s="36" t="e">
        <f>VLOOKUP($C648,'Variable Information'!$A$2:$E$480,5,FALSE)</f>
        <v>#N/A</v>
      </c>
      <c r="B648" s="36" t="e">
        <f>VLOOKUP($C648,'Variable Information'!$A$1:$C$480,3,FALSE)</f>
        <v>#N/A</v>
      </c>
      <c r="C648" s="35"/>
      <c r="D648" s="30" t="s">
        <v>1475</v>
      </c>
      <c r="E648" s="15" t="s">
        <v>1475</v>
      </c>
    </row>
    <row r="649" spans="1:5" x14ac:dyDescent="0.25">
      <c r="A649" s="36" t="e">
        <f>VLOOKUP($C649,'Variable Information'!$A$2:$E$480,5,FALSE)</f>
        <v>#N/A</v>
      </c>
      <c r="B649" s="36" t="e">
        <f>VLOOKUP($C649,'Variable Information'!$A$1:$C$480,3,FALSE)</f>
        <v>#N/A</v>
      </c>
      <c r="C649" s="35"/>
      <c r="D649" s="30" t="s">
        <v>1477</v>
      </c>
      <c r="E649" s="15" t="s">
        <v>1477</v>
      </c>
    </row>
    <row r="650" spans="1:5" x14ac:dyDescent="0.25">
      <c r="A650" s="36" t="e">
        <f>VLOOKUP($C650,'Variable Information'!$A$2:$E$480,5,FALSE)</f>
        <v>#N/A</v>
      </c>
      <c r="B650" s="36" t="e">
        <f>VLOOKUP($C650,'Variable Information'!$A$1:$C$480,3,FALSE)</f>
        <v>#N/A</v>
      </c>
      <c r="C650" s="35"/>
      <c r="D650" s="30" t="s">
        <v>1503</v>
      </c>
      <c r="E650" s="15" t="s">
        <v>1503</v>
      </c>
    </row>
    <row r="651" spans="1:5" x14ac:dyDescent="0.25">
      <c r="A651" s="36" t="e">
        <f>VLOOKUP($C651,'Variable Information'!$A$2:$E$480,5,FALSE)</f>
        <v>#N/A</v>
      </c>
      <c r="B651" s="36" t="e">
        <f>VLOOKUP($C651,'Variable Information'!$A$1:$C$480,3,FALSE)</f>
        <v>#N/A</v>
      </c>
      <c r="C651" s="35"/>
      <c r="D651" s="30" t="s">
        <v>1524</v>
      </c>
      <c r="E651" s="15" t="s">
        <v>1524</v>
      </c>
    </row>
    <row r="652" spans="1:5" x14ac:dyDescent="0.25">
      <c r="A652" s="36" t="str">
        <f>VLOOKUP($C652,'Variable Information'!$A$2:$E$480,5,FALSE)</f>
        <v>AJP_E3_rank</v>
      </c>
      <c r="B652" s="36" t="str">
        <f>VLOOKUP($C652,'Variable Information'!$A$1:$C$480,3,FALSE)</f>
        <v>Q23_4_5_3. Issue ranking - Disputes about communal repairs/maintenance/costs</v>
      </c>
      <c r="C652" s="35" t="s">
        <v>431</v>
      </c>
      <c r="D652" s="30" t="s">
        <v>1447</v>
      </c>
      <c r="E652" s="15" t="s">
        <v>1447</v>
      </c>
    </row>
    <row r="653" spans="1:5" x14ac:dyDescent="0.25">
      <c r="A653" s="36" t="e">
        <f>VLOOKUP($C653,'Variable Information'!$A$2:$E$480,5,FALSE)</f>
        <v>#N/A</v>
      </c>
      <c r="B653" s="36" t="e">
        <f>VLOOKUP($C653,'Variable Information'!$A$1:$C$480,3,FALSE)</f>
        <v>#N/A</v>
      </c>
      <c r="C653" s="35"/>
      <c r="D653" s="30" t="s">
        <v>1449</v>
      </c>
      <c r="E653" s="15" t="s">
        <v>1449</v>
      </c>
    </row>
    <row r="654" spans="1:5" x14ac:dyDescent="0.25">
      <c r="A654" s="36" t="e">
        <f>VLOOKUP($C654,'Variable Information'!$A$2:$E$480,5,FALSE)</f>
        <v>#N/A</v>
      </c>
      <c r="B654" s="36" t="e">
        <f>VLOOKUP($C654,'Variable Information'!$A$1:$C$480,3,FALSE)</f>
        <v>#N/A</v>
      </c>
      <c r="C654" s="35"/>
      <c r="D654" s="30" t="s">
        <v>1451</v>
      </c>
      <c r="E654" s="15" t="s">
        <v>1451</v>
      </c>
    </row>
    <row r="655" spans="1:5" x14ac:dyDescent="0.25">
      <c r="A655" s="36" t="e">
        <f>VLOOKUP($C655,'Variable Information'!$A$2:$E$480,5,FALSE)</f>
        <v>#N/A</v>
      </c>
      <c r="B655" s="36" t="e">
        <f>VLOOKUP($C655,'Variable Information'!$A$1:$C$480,3,FALSE)</f>
        <v>#N/A</v>
      </c>
      <c r="C655" s="35"/>
      <c r="D655" s="30" t="s">
        <v>1456</v>
      </c>
      <c r="E655" s="15" t="s">
        <v>1456</v>
      </c>
    </row>
    <row r="656" spans="1:5" x14ac:dyDescent="0.25">
      <c r="A656" s="36" t="e">
        <f>VLOOKUP($C656,'Variable Information'!$A$2:$E$480,5,FALSE)</f>
        <v>#N/A</v>
      </c>
      <c r="B656" s="36" t="e">
        <f>VLOOKUP($C656,'Variable Information'!$A$1:$C$480,3,FALSE)</f>
        <v>#N/A</v>
      </c>
      <c r="C656" s="35"/>
      <c r="D656" s="30" t="s">
        <v>1458</v>
      </c>
      <c r="E656" s="15" t="s">
        <v>1458</v>
      </c>
    </row>
    <row r="657" spans="1:5" x14ac:dyDescent="0.25">
      <c r="A657" s="36" t="e">
        <f>VLOOKUP($C657,'Variable Information'!$A$2:$E$480,5,FALSE)</f>
        <v>#N/A</v>
      </c>
      <c r="B657" s="36" t="e">
        <f>VLOOKUP($C657,'Variable Information'!$A$1:$C$480,3,FALSE)</f>
        <v>#N/A</v>
      </c>
      <c r="C657" s="35"/>
      <c r="D657" s="30" t="s">
        <v>1460</v>
      </c>
      <c r="E657" s="15" t="s">
        <v>1460</v>
      </c>
    </row>
    <row r="658" spans="1:5" x14ac:dyDescent="0.25">
      <c r="A658" s="36" t="e">
        <f>VLOOKUP($C658,'Variable Information'!$A$2:$E$480,5,FALSE)</f>
        <v>#N/A</v>
      </c>
      <c r="B658" s="36" t="e">
        <f>VLOOKUP($C658,'Variable Information'!$A$1:$C$480,3,FALSE)</f>
        <v>#N/A</v>
      </c>
      <c r="C658" s="35"/>
      <c r="D658" s="30" t="s">
        <v>1462</v>
      </c>
      <c r="E658" s="15" t="s">
        <v>1462</v>
      </c>
    </row>
    <row r="659" spans="1:5" x14ac:dyDescent="0.25">
      <c r="A659" s="36" t="e">
        <f>VLOOKUP($C659,'Variable Information'!$A$2:$E$480,5,FALSE)</f>
        <v>#N/A</v>
      </c>
      <c r="B659" s="36" t="e">
        <f>VLOOKUP($C659,'Variable Information'!$A$1:$C$480,3,FALSE)</f>
        <v>#N/A</v>
      </c>
      <c r="C659" s="35"/>
      <c r="D659" s="30" t="s">
        <v>1471</v>
      </c>
      <c r="E659" s="15" t="s">
        <v>1471</v>
      </c>
    </row>
    <row r="660" spans="1:5" x14ac:dyDescent="0.25">
      <c r="A660" s="36" t="e">
        <f>VLOOKUP($C660,'Variable Information'!$A$2:$E$480,5,FALSE)</f>
        <v>#N/A</v>
      </c>
      <c r="B660" s="36" t="e">
        <f>VLOOKUP($C660,'Variable Information'!$A$1:$C$480,3,FALSE)</f>
        <v>#N/A</v>
      </c>
      <c r="C660" s="35"/>
      <c r="D660" s="30" t="s">
        <v>1473</v>
      </c>
      <c r="E660" s="15" t="s">
        <v>1473</v>
      </c>
    </row>
    <row r="661" spans="1:5" x14ac:dyDescent="0.25">
      <c r="A661" s="36" t="e">
        <f>VLOOKUP($C661,'Variable Information'!$A$2:$E$480,5,FALSE)</f>
        <v>#N/A</v>
      </c>
      <c r="B661" s="36" t="e">
        <f>VLOOKUP($C661,'Variable Information'!$A$1:$C$480,3,FALSE)</f>
        <v>#N/A</v>
      </c>
      <c r="C661" s="35"/>
      <c r="D661" s="30" t="s">
        <v>1475</v>
      </c>
      <c r="E661" s="15" t="s">
        <v>1475</v>
      </c>
    </row>
    <row r="662" spans="1:5" x14ac:dyDescent="0.25">
      <c r="A662" s="36" t="e">
        <f>VLOOKUP($C662,'Variable Information'!$A$2:$E$480,5,FALSE)</f>
        <v>#N/A</v>
      </c>
      <c r="B662" s="36" t="e">
        <f>VLOOKUP($C662,'Variable Information'!$A$1:$C$480,3,FALSE)</f>
        <v>#N/A</v>
      </c>
      <c r="C662" s="35"/>
      <c r="D662" s="30" t="s">
        <v>1477</v>
      </c>
      <c r="E662" s="15" t="s">
        <v>1477</v>
      </c>
    </row>
    <row r="663" spans="1:5" x14ac:dyDescent="0.25">
      <c r="A663" s="36" t="e">
        <f>VLOOKUP($C663,'Variable Information'!$A$2:$E$480,5,FALSE)</f>
        <v>#N/A</v>
      </c>
      <c r="B663" s="36" t="e">
        <f>VLOOKUP($C663,'Variable Information'!$A$1:$C$480,3,FALSE)</f>
        <v>#N/A</v>
      </c>
      <c r="C663" s="35"/>
      <c r="D663" s="30" t="s">
        <v>1503</v>
      </c>
      <c r="E663" s="15" t="s">
        <v>1503</v>
      </c>
    </row>
    <row r="664" spans="1:5" x14ac:dyDescent="0.25">
      <c r="A664" s="36" t="e">
        <f>VLOOKUP($C664,'Variable Information'!$A$2:$E$480,5,FALSE)</f>
        <v>#N/A</v>
      </c>
      <c r="B664" s="36" t="e">
        <f>VLOOKUP($C664,'Variable Information'!$A$1:$C$480,3,FALSE)</f>
        <v>#N/A</v>
      </c>
      <c r="C664" s="35"/>
      <c r="D664" s="30" t="s">
        <v>1524</v>
      </c>
      <c r="E664" s="15" t="s">
        <v>1524</v>
      </c>
    </row>
    <row r="665" spans="1:5" x14ac:dyDescent="0.25">
      <c r="A665" s="36" t="str">
        <f>VLOOKUP($C665,'Variable Information'!$A$2:$E$480,5,FALSE)</f>
        <v>AJP_E4_rank</v>
      </c>
      <c r="B665" s="36" t="str">
        <f>VLOOKUP($C665,'Variable Information'!$A$1:$C$480,3,FALSE)</f>
        <v>Q23_4_5_4. Issue ranking - Problems or disputes concerning Local Property Tax or Council/local services</v>
      </c>
      <c r="C665" s="35" t="s">
        <v>434</v>
      </c>
      <c r="D665" s="30" t="s">
        <v>1447</v>
      </c>
      <c r="E665" s="15" t="s">
        <v>1447</v>
      </c>
    </row>
    <row r="666" spans="1:5" x14ac:dyDescent="0.25">
      <c r="A666" s="36" t="e">
        <f>VLOOKUP($C666,'Variable Information'!$A$2:$E$480,5,FALSE)</f>
        <v>#N/A</v>
      </c>
      <c r="B666" s="36" t="e">
        <f>VLOOKUP($C666,'Variable Information'!$A$1:$C$480,3,FALSE)</f>
        <v>#N/A</v>
      </c>
      <c r="C666" s="35"/>
      <c r="D666" s="30" t="s">
        <v>1449</v>
      </c>
      <c r="E666" s="15" t="s">
        <v>1449</v>
      </c>
    </row>
    <row r="667" spans="1:5" x14ac:dyDescent="0.25">
      <c r="A667" s="36" t="e">
        <f>VLOOKUP($C667,'Variable Information'!$A$2:$E$480,5,FALSE)</f>
        <v>#N/A</v>
      </c>
      <c r="B667" s="36" t="e">
        <f>VLOOKUP($C667,'Variable Information'!$A$1:$C$480,3,FALSE)</f>
        <v>#N/A</v>
      </c>
      <c r="C667" s="35"/>
      <c r="D667" s="30" t="s">
        <v>1451</v>
      </c>
      <c r="E667" s="15" t="s">
        <v>1451</v>
      </c>
    </row>
    <row r="668" spans="1:5" x14ac:dyDescent="0.25">
      <c r="A668" s="36" t="e">
        <f>VLOOKUP($C668,'Variable Information'!$A$2:$E$480,5,FALSE)</f>
        <v>#N/A</v>
      </c>
      <c r="B668" s="36" t="e">
        <f>VLOOKUP($C668,'Variable Information'!$A$1:$C$480,3,FALSE)</f>
        <v>#N/A</v>
      </c>
      <c r="C668" s="35"/>
      <c r="D668" s="30" t="s">
        <v>1456</v>
      </c>
      <c r="E668" s="15" t="s">
        <v>1456</v>
      </c>
    </row>
    <row r="669" spans="1:5" x14ac:dyDescent="0.25">
      <c r="A669" s="36" t="e">
        <f>VLOOKUP($C669,'Variable Information'!$A$2:$E$480,5,FALSE)</f>
        <v>#N/A</v>
      </c>
      <c r="B669" s="36" t="e">
        <f>VLOOKUP($C669,'Variable Information'!$A$1:$C$480,3,FALSE)</f>
        <v>#N/A</v>
      </c>
      <c r="C669" s="35"/>
      <c r="D669" s="30" t="s">
        <v>1458</v>
      </c>
      <c r="E669" s="15" t="s">
        <v>1458</v>
      </c>
    </row>
    <row r="670" spans="1:5" x14ac:dyDescent="0.25">
      <c r="A670" s="36" t="e">
        <f>VLOOKUP($C670,'Variable Information'!$A$2:$E$480,5,FALSE)</f>
        <v>#N/A</v>
      </c>
      <c r="B670" s="36" t="e">
        <f>VLOOKUP($C670,'Variable Information'!$A$1:$C$480,3,FALSE)</f>
        <v>#N/A</v>
      </c>
      <c r="C670" s="35"/>
      <c r="D670" s="30" t="s">
        <v>1460</v>
      </c>
      <c r="E670" s="15" t="s">
        <v>1460</v>
      </c>
    </row>
    <row r="671" spans="1:5" x14ac:dyDescent="0.25">
      <c r="A671" s="36" t="e">
        <f>VLOOKUP($C671,'Variable Information'!$A$2:$E$480,5,FALSE)</f>
        <v>#N/A</v>
      </c>
      <c r="B671" s="36" t="e">
        <f>VLOOKUP($C671,'Variable Information'!$A$1:$C$480,3,FALSE)</f>
        <v>#N/A</v>
      </c>
      <c r="C671" s="35"/>
      <c r="D671" s="30" t="s">
        <v>1462</v>
      </c>
      <c r="E671" s="15" t="s">
        <v>1462</v>
      </c>
    </row>
    <row r="672" spans="1:5" x14ac:dyDescent="0.25">
      <c r="A672" s="36" t="e">
        <f>VLOOKUP($C672,'Variable Information'!$A$2:$E$480,5,FALSE)</f>
        <v>#N/A</v>
      </c>
      <c r="B672" s="36" t="e">
        <f>VLOOKUP($C672,'Variable Information'!$A$1:$C$480,3,FALSE)</f>
        <v>#N/A</v>
      </c>
      <c r="C672" s="35"/>
      <c r="D672" s="30" t="s">
        <v>1471</v>
      </c>
      <c r="E672" s="15" t="s">
        <v>1471</v>
      </c>
    </row>
    <row r="673" spans="1:5" x14ac:dyDescent="0.25">
      <c r="A673" s="36" t="e">
        <f>VLOOKUP($C673,'Variable Information'!$A$2:$E$480,5,FALSE)</f>
        <v>#N/A</v>
      </c>
      <c r="B673" s="36" t="e">
        <f>VLOOKUP($C673,'Variable Information'!$A$1:$C$480,3,FALSE)</f>
        <v>#N/A</v>
      </c>
      <c r="C673" s="35"/>
      <c r="D673" s="30" t="s">
        <v>1473</v>
      </c>
      <c r="E673" s="15" t="s">
        <v>1473</v>
      </c>
    </row>
    <row r="674" spans="1:5" x14ac:dyDescent="0.25">
      <c r="A674" s="36" t="e">
        <f>VLOOKUP($C674,'Variable Information'!$A$2:$E$480,5,FALSE)</f>
        <v>#N/A</v>
      </c>
      <c r="B674" s="36" t="e">
        <f>VLOOKUP($C674,'Variable Information'!$A$1:$C$480,3,FALSE)</f>
        <v>#N/A</v>
      </c>
      <c r="C674" s="35"/>
      <c r="D674" s="30" t="s">
        <v>1475</v>
      </c>
      <c r="E674" s="15" t="s">
        <v>1475</v>
      </c>
    </row>
    <row r="675" spans="1:5" x14ac:dyDescent="0.25">
      <c r="A675" s="36" t="e">
        <f>VLOOKUP($C675,'Variable Information'!$A$2:$E$480,5,FALSE)</f>
        <v>#N/A</v>
      </c>
      <c r="B675" s="36" t="e">
        <f>VLOOKUP($C675,'Variable Information'!$A$1:$C$480,3,FALSE)</f>
        <v>#N/A</v>
      </c>
      <c r="C675" s="35"/>
      <c r="D675" s="30" t="s">
        <v>1477</v>
      </c>
      <c r="E675" s="15" t="s">
        <v>1477</v>
      </c>
    </row>
    <row r="676" spans="1:5" x14ac:dyDescent="0.25">
      <c r="A676" s="36" t="e">
        <f>VLOOKUP($C676,'Variable Information'!$A$2:$E$480,5,FALSE)</f>
        <v>#N/A</v>
      </c>
      <c r="B676" s="36" t="e">
        <f>VLOOKUP($C676,'Variable Information'!$A$1:$C$480,3,FALSE)</f>
        <v>#N/A</v>
      </c>
      <c r="C676" s="35"/>
      <c r="D676" s="30" t="s">
        <v>1503</v>
      </c>
      <c r="E676" s="15" t="s">
        <v>1503</v>
      </c>
    </row>
    <row r="677" spans="1:5" x14ac:dyDescent="0.25">
      <c r="A677" s="36" t="e">
        <f>VLOOKUP($C677,'Variable Information'!$A$2:$E$480,5,FALSE)</f>
        <v>#N/A</v>
      </c>
      <c r="B677" s="36" t="e">
        <f>VLOOKUP($C677,'Variable Information'!$A$1:$C$480,3,FALSE)</f>
        <v>#N/A</v>
      </c>
      <c r="C677" s="35"/>
      <c r="D677" s="30" t="s">
        <v>1524</v>
      </c>
      <c r="E677" s="15" t="s">
        <v>1524</v>
      </c>
    </row>
    <row r="678" spans="1:5" x14ac:dyDescent="0.25">
      <c r="A678" s="36" t="str">
        <f>VLOOKUP($C678,'Variable Information'!$A$2:$E$480,5,FALSE)</f>
        <v>AJP_E5_rank</v>
      </c>
      <c r="B678" s="36" t="str">
        <f>VLOOKUP($C678,'Variable Information'!$A$1:$C$480,3,FALSE)</f>
        <v>Q23_4_5_5. Issue ranking - Squatters</v>
      </c>
      <c r="C678" s="35" t="s">
        <v>437</v>
      </c>
      <c r="D678" s="30" t="s">
        <v>1447</v>
      </c>
      <c r="E678" s="15" t="s">
        <v>1447</v>
      </c>
    </row>
    <row r="679" spans="1:5" x14ac:dyDescent="0.25">
      <c r="A679" s="36" t="e">
        <f>VLOOKUP($C679,'Variable Information'!$A$2:$E$480,5,FALSE)</f>
        <v>#N/A</v>
      </c>
      <c r="B679" s="36" t="e">
        <f>VLOOKUP($C679,'Variable Information'!$A$1:$C$480,3,FALSE)</f>
        <v>#N/A</v>
      </c>
      <c r="C679" s="35"/>
      <c r="D679" s="30" t="s">
        <v>1449</v>
      </c>
      <c r="E679" s="15" t="s">
        <v>1449</v>
      </c>
    </row>
    <row r="680" spans="1:5" x14ac:dyDescent="0.25">
      <c r="A680" s="36" t="e">
        <f>VLOOKUP($C680,'Variable Information'!$A$2:$E$480,5,FALSE)</f>
        <v>#N/A</v>
      </c>
      <c r="B680" s="36" t="e">
        <f>VLOOKUP($C680,'Variable Information'!$A$1:$C$480,3,FALSE)</f>
        <v>#N/A</v>
      </c>
      <c r="C680" s="35"/>
      <c r="D680" s="30" t="s">
        <v>1451</v>
      </c>
      <c r="E680" s="15" t="s">
        <v>1451</v>
      </c>
    </row>
    <row r="681" spans="1:5" x14ac:dyDescent="0.25">
      <c r="A681" s="36" t="e">
        <f>VLOOKUP($C681,'Variable Information'!$A$2:$E$480,5,FALSE)</f>
        <v>#N/A</v>
      </c>
      <c r="B681" s="36" t="e">
        <f>VLOOKUP($C681,'Variable Information'!$A$1:$C$480,3,FALSE)</f>
        <v>#N/A</v>
      </c>
      <c r="C681" s="35"/>
      <c r="D681" s="30" t="s">
        <v>1456</v>
      </c>
      <c r="E681" s="15" t="s">
        <v>1456</v>
      </c>
    </row>
    <row r="682" spans="1:5" x14ac:dyDescent="0.25">
      <c r="A682" s="36" t="e">
        <f>VLOOKUP($C682,'Variable Information'!$A$2:$E$480,5,FALSE)</f>
        <v>#N/A</v>
      </c>
      <c r="B682" s="36" t="e">
        <f>VLOOKUP($C682,'Variable Information'!$A$1:$C$480,3,FALSE)</f>
        <v>#N/A</v>
      </c>
      <c r="C682" s="35"/>
      <c r="D682" s="30" t="s">
        <v>1458</v>
      </c>
      <c r="E682" s="15" t="s">
        <v>1458</v>
      </c>
    </row>
    <row r="683" spans="1:5" x14ac:dyDescent="0.25">
      <c r="A683" s="36" t="e">
        <f>VLOOKUP($C683,'Variable Information'!$A$2:$E$480,5,FALSE)</f>
        <v>#N/A</v>
      </c>
      <c r="B683" s="36" t="e">
        <f>VLOOKUP($C683,'Variable Information'!$A$1:$C$480,3,FALSE)</f>
        <v>#N/A</v>
      </c>
      <c r="C683" s="35"/>
      <c r="D683" s="30" t="s">
        <v>1460</v>
      </c>
      <c r="E683" s="15" t="s">
        <v>1460</v>
      </c>
    </row>
    <row r="684" spans="1:5" x14ac:dyDescent="0.25">
      <c r="A684" s="36" t="e">
        <f>VLOOKUP($C684,'Variable Information'!$A$2:$E$480,5,FALSE)</f>
        <v>#N/A</v>
      </c>
      <c r="B684" s="36" t="e">
        <f>VLOOKUP($C684,'Variable Information'!$A$1:$C$480,3,FALSE)</f>
        <v>#N/A</v>
      </c>
      <c r="C684" s="35"/>
      <c r="D684" s="30" t="s">
        <v>1462</v>
      </c>
      <c r="E684" s="15" t="s">
        <v>1462</v>
      </c>
    </row>
    <row r="685" spans="1:5" x14ac:dyDescent="0.25">
      <c r="A685" s="36" t="e">
        <f>VLOOKUP($C685,'Variable Information'!$A$2:$E$480,5,FALSE)</f>
        <v>#N/A</v>
      </c>
      <c r="B685" s="36" t="e">
        <f>VLOOKUP($C685,'Variable Information'!$A$1:$C$480,3,FALSE)</f>
        <v>#N/A</v>
      </c>
      <c r="C685" s="35"/>
      <c r="D685" s="30" t="s">
        <v>1471</v>
      </c>
      <c r="E685" s="15" t="s">
        <v>1471</v>
      </c>
    </row>
    <row r="686" spans="1:5" x14ac:dyDescent="0.25">
      <c r="A686" s="36" t="e">
        <f>VLOOKUP($C686,'Variable Information'!$A$2:$E$480,5,FALSE)</f>
        <v>#N/A</v>
      </c>
      <c r="B686" s="36" t="e">
        <f>VLOOKUP($C686,'Variable Information'!$A$1:$C$480,3,FALSE)</f>
        <v>#N/A</v>
      </c>
      <c r="C686" s="35"/>
      <c r="D686" s="30" t="s">
        <v>1473</v>
      </c>
      <c r="E686" s="15" t="s">
        <v>1473</v>
      </c>
    </row>
    <row r="687" spans="1:5" x14ac:dyDescent="0.25">
      <c r="A687" s="36" t="e">
        <f>VLOOKUP($C687,'Variable Information'!$A$2:$E$480,5,FALSE)</f>
        <v>#N/A</v>
      </c>
      <c r="B687" s="36" t="e">
        <f>VLOOKUP($C687,'Variable Information'!$A$1:$C$480,3,FALSE)</f>
        <v>#N/A</v>
      </c>
      <c r="C687" s="35"/>
      <c r="D687" s="30" t="s">
        <v>1475</v>
      </c>
      <c r="E687" s="15" t="s">
        <v>1475</v>
      </c>
    </row>
    <row r="688" spans="1:5" x14ac:dyDescent="0.25">
      <c r="A688" s="36" t="e">
        <f>VLOOKUP($C688,'Variable Information'!$A$2:$E$480,5,FALSE)</f>
        <v>#N/A</v>
      </c>
      <c r="B688" s="36" t="e">
        <f>VLOOKUP($C688,'Variable Information'!$A$1:$C$480,3,FALSE)</f>
        <v>#N/A</v>
      </c>
      <c r="C688" s="35"/>
      <c r="D688" s="30" t="s">
        <v>1477</v>
      </c>
      <c r="E688" s="15" t="s">
        <v>1477</v>
      </c>
    </row>
    <row r="689" spans="1:5" x14ac:dyDescent="0.25">
      <c r="A689" s="36" t="e">
        <f>VLOOKUP($C689,'Variable Information'!$A$2:$E$480,5,FALSE)</f>
        <v>#N/A</v>
      </c>
      <c r="B689" s="36" t="e">
        <f>VLOOKUP($C689,'Variable Information'!$A$1:$C$480,3,FALSE)</f>
        <v>#N/A</v>
      </c>
      <c r="C689" s="35"/>
      <c r="D689" s="30" t="s">
        <v>1503</v>
      </c>
      <c r="E689" s="15" t="s">
        <v>1503</v>
      </c>
    </row>
    <row r="690" spans="1:5" x14ac:dyDescent="0.25">
      <c r="A690" s="36" t="e">
        <f>VLOOKUP($C690,'Variable Information'!$A$2:$E$480,5,FALSE)</f>
        <v>#N/A</v>
      </c>
      <c r="B690" s="36" t="e">
        <f>VLOOKUP($C690,'Variable Information'!$A$1:$C$480,3,FALSE)</f>
        <v>#N/A</v>
      </c>
      <c r="C690" s="35"/>
      <c r="D690" s="30" t="s">
        <v>1524</v>
      </c>
      <c r="E690" s="15" t="s">
        <v>1524</v>
      </c>
    </row>
    <row r="691" spans="1:5" x14ac:dyDescent="0.25">
      <c r="A691" s="36" t="str">
        <f>VLOOKUP($C691,'Variable Information'!$A$2:$E$480,5,FALSE)</f>
        <v>AJP_E6_rank</v>
      </c>
      <c r="B691" s="36" t="str">
        <f>VLOOKUP($C691,'Variable Information'!$A$1:$C$480,3,FALSE)</f>
        <v>Q23_4_5_6. Issue ranking - Dispute with utilities/essential services (e.g. waste disposal water electricity internet or other utility provider)</v>
      </c>
      <c r="C691" s="35" t="s">
        <v>440</v>
      </c>
      <c r="D691" s="30" t="s">
        <v>1447</v>
      </c>
      <c r="E691" s="15" t="s">
        <v>1447</v>
      </c>
    </row>
    <row r="692" spans="1:5" x14ac:dyDescent="0.25">
      <c r="A692" s="36" t="e">
        <f>VLOOKUP($C692,'Variable Information'!$A$2:$E$480,5,FALSE)</f>
        <v>#N/A</v>
      </c>
      <c r="B692" s="36" t="e">
        <f>VLOOKUP($C692,'Variable Information'!$A$1:$C$480,3,FALSE)</f>
        <v>#N/A</v>
      </c>
      <c r="C692" s="35"/>
      <c r="D692" s="30" t="s">
        <v>1449</v>
      </c>
      <c r="E692" s="15" t="s">
        <v>1449</v>
      </c>
    </row>
    <row r="693" spans="1:5" x14ac:dyDescent="0.25">
      <c r="A693" s="36" t="e">
        <f>VLOOKUP($C693,'Variable Information'!$A$2:$E$480,5,FALSE)</f>
        <v>#N/A</v>
      </c>
      <c r="B693" s="36" t="e">
        <f>VLOOKUP($C693,'Variable Information'!$A$1:$C$480,3,FALSE)</f>
        <v>#N/A</v>
      </c>
      <c r="C693" s="35"/>
      <c r="D693" s="30" t="s">
        <v>1451</v>
      </c>
      <c r="E693" s="15" t="s">
        <v>1451</v>
      </c>
    </row>
    <row r="694" spans="1:5" x14ac:dyDescent="0.25">
      <c r="A694" s="36" t="e">
        <f>VLOOKUP($C694,'Variable Information'!$A$2:$E$480,5,FALSE)</f>
        <v>#N/A</v>
      </c>
      <c r="B694" s="36" t="e">
        <f>VLOOKUP($C694,'Variable Information'!$A$1:$C$480,3,FALSE)</f>
        <v>#N/A</v>
      </c>
      <c r="C694" s="35"/>
      <c r="D694" s="30" t="s">
        <v>1456</v>
      </c>
      <c r="E694" s="15" t="s">
        <v>1456</v>
      </c>
    </row>
    <row r="695" spans="1:5" x14ac:dyDescent="0.25">
      <c r="A695" s="36" t="e">
        <f>VLOOKUP($C695,'Variable Information'!$A$2:$E$480,5,FALSE)</f>
        <v>#N/A</v>
      </c>
      <c r="B695" s="36" t="e">
        <f>VLOOKUP($C695,'Variable Information'!$A$1:$C$480,3,FALSE)</f>
        <v>#N/A</v>
      </c>
      <c r="C695" s="35"/>
      <c r="D695" s="30" t="s">
        <v>1458</v>
      </c>
      <c r="E695" s="15" t="s">
        <v>1458</v>
      </c>
    </row>
    <row r="696" spans="1:5" x14ac:dyDescent="0.25">
      <c r="A696" s="36" t="e">
        <f>VLOOKUP($C696,'Variable Information'!$A$2:$E$480,5,FALSE)</f>
        <v>#N/A</v>
      </c>
      <c r="B696" s="36" t="e">
        <f>VLOOKUP($C696,'Variable Information'!$A$1:$C$480,3,FALSE)</f>
        <v>#N/A</v>
      </c>
      <c r="C696" s="35"/>
      <c r="D696" s="30" t="s">
        <v>1460</v>
      </c>
      <c r="E696" s="15" t="s">
        <v>1460</v>
      </c>
    </row>
    <row r="697" spans="1:5" x14ac:dyDescent="0.25">
      <c r="A697" s="36" t="e">
        <f>VLOOKUP($C697,'Variable Information'!$A$2:$E$480,5,FALSE)</f>
        <v>#N/A</v>
      </c>
      <c r="B697" s="36" t="e">
        <f>VLOOKUP($C697,'Variable Information'!$A$1:$C$480,3,FALSE)</f>
        <v>#N/A</v>
      </c>
      <c r="C697" s="35"/>
      <c r="D697" s="30" t="s">
        <v>1462</v>
      </c>
      <c r="E697" s="15" t="s">
        <v>1462</v>
      </c>
    </row>
    <row r="698" spans="1:5" x14ac:dyDescent="0.25">
      <c r="A698" s="36" t="e">
        <f>VLOOKUP($C698,'Variable Information'!$A$2:$E$480,5,FALSE)</f>
        <v>#N/A</v>
      </c>
      <c r="B698" s="36" t="e">
        <f>VLOOKUP($C698,'Variable Information'!$A$1:$C$480,3,FALSE)</f>
        <v>#N/A</v>
      </c>
      <c r="C698" s="35"/>
      <c r="D698" s="30" t="s">
        <v>1471</v>
      </c>
      <c r="E698" s="15" t="s">
        <v>1471</v>
      </c>
    </row>
    <row r="699" spans="1:5" x14ac:dyDescent="0.25">
      <c r="A699" s="36" t="e">
        <f>VLOOKUP($C699,'Variable Information'!$A$2:$E$480,5,FALSE)</f>
        <v>#N/A</v>
      </c>
      <c r="B699" s="36" t="e">
        <f>VLOOKUP($C699,'Variable Information'!$A$1:$C$480,3,FALSE)</f>
        <v>#N/A</v>
      </c>
      <c r="C699" s="35"/>
      <c r="D699" s="30" t="s">
        <v>1473</v>
      </c>
      <c r="E699" s="15" t="s">
        <v>1473</v>
      </c>
    </row>
    <row r="700" spans="1:5" x14ac:dyDescent="0.25">
      <c r="A700" s="36" t="e">
        <f>VLOOKUP($C700,'Variable Information'!$A$2:$E$480,5,FALSE)</f>
        <v>#N/A</v>
      </c>
      <c r="B700" s="36" t="e">
        <f>VLOOKUP($C700,'Variable Information'!$A$1:$C$480,3,FALSE)</f>
        <v>#N/A</v>
      </c>
      <c r="C700" s="35"/>
      <c r="D700" s="30" t="s">
        <v>1475</v>
      </c>
      <c r="E700" s="15" t="s">
        <v>1475</v>
      </c>
    </row>
    <row r="701" spans="1:5" x14ac:dyDescent="0.25">
      <c r="A701" s="36" t="e">
        <f>VLOOKUP($C701,'Variable Information'!$A$2:$E$480,5,FALSE)</f>
        <v>#N/A</v>
      </c>
      <c r="B701" s="36" t="e">
        <f>VLOOKUP($C701,'Variable Information'!$A$1:$C$480,3,FALSE)</f>
        <v>#N/A</v>
      </c>
      <c r="C701" s="35"/>
      <c r="D701" s="30" t="s">
        <v>1477</v>
      </c>
      <c r="E701" s="15" t="s">
        <v>1477</v>
      </c>
    </row>
    <row r="702" spans="1:5" x14ac:dyDescent="0.25">
      <c r="A702" s="36" t="e">
        <f>VLOOKUP($C702,'Variable Information'!$A$2:$E$480,5,FALSE)</f>
        <v>#N/A</v>
      </c>
      <c r="B702" s="36" t="e">
        <f>VLOOKUP($C702,'Variable Information'!$A$1:$C$480,3,FALSE)</f>
        <v>#N/A</v>
      </c>
      <c r="C702" s="35"/>
      <c r="D702" s="30" t="s">
        <v>1503</v>
      </c>
      <c r="E702" s="15" t="s">
        <v>1503</v>
      </c>
    </row>
    <row r="703" spans="1:5" x14ac:dyDescent="0.25">
      <c r="A703" s="36" t="e">
        <f>VLOOKUP($C703,'Variable Information'!$A$2:$E$480,5,FALSE)</f>
        <v>#N/A</v>
      </c>
      <c r="B703" s="36" t="e">
        <f>VLOOKUP($C703,'Variable Information'!$A$1:$C$480,3,FALSE)</f>
        <v>#N/A</v>
      </c>
      <c r="C703" s="35"/>
      <c r="D703" s="30" t="s">
        <v>1524</v>
      </c>
      <c r="E703" s="15" t="s">
        <v>1524</v>
      </c>
    </row>
    <row r="704" spans="1:5" x14ac:dyDescent="0.25">
      <c r="A704" s="36" t="str">
        <f>VLOOKUP($C704,'Variable Information'!$A$2:$E$480,5,FALSE)</f>
        <v>AJP_E7_rank</v>
      </c>
      <c r="B704" s="36" t="str">
        <f>VLOOKUP($C704,'Variable Information'!$A$1:$C$480,3,FALSE)</f>
        <v>Q23_4_5_7. Issue ranking - Mortgage related issues including repossession threatened repossession or late payment</v>
      </c>
      <c r="C704" s="35" t="s">
        <v>443</v>
      </c>
      <c r="D704" s="30" t="s">
        <v>1447</v>
      </c>
      <c r="E704" s="15" t="s">
        <v>1447</v>
      </c>
    </row>
    <row r="705" spans="1:5" x14ac:dyDescent="0.25">
      <c r="A705" s="36" t="e">
        <f>VLOOKUP($C705,'Variable Information'!$A$2:$E$480,5,FALSE)</f>
        <v>#N/A</v>
      </c>
      <c r="B705" s="36" t="e">
        <f>VLOOKUP($C705,'Variable Information'!$A$1:$C$480,3,FALSE)</f>
        <v>#N/A</v>
      </c>
      <c r="C705" s="35"/>
      <c r="D705" s="30" t="s">
        <v>1449</v>
      </c>
      <c r="E705" s="15" t="s">
        <v>1449</v>
      </c>
    </row>
    <row r="706" spans="1:5" x14ac:dyDescent="0.25">
      <c r="A706" s="36" t="e">
        <f>VLOOKUP($C706,'Variable Information'!$A$2:$E$480,5,FALSE)</f>
        <v>#N/A</v>
      </c>
      <c r="B706" s="36" t="e">
        <f>VLOOKUP($C706,'Variable Information'!$A$1:$C$480,3,FALSE)</f>
        <v>#N/A</v>
      </c>
      <c r="C706" s="35"/>
      <c r="D706" s="30" t="s">
        <v>1451</v>
      </c>
      <c r="E706" s="15" t="s">
        <v>1451</v>
      </c>
    </row>
    <row r="707" spans="1:5" x14ac:dyDescent="0.25">
      <c r="A707" s="36" t="e">
        <f>VLOOKUP($C707,'Variable Information'!$A$2:$E$480,5,FALSE)</f>
        <v>#N/A</v>
      </c>
      <c r="B707" s="36" t="e">
        <f>VLOOKUP($C707,'Variable Information'!$A$1:$C$480,3,FALSE)</f>
        <v>#N/A</v>
      </c>
      <c r="C707" s="35"/>
      <c r="D707" s="30" t="s">
        <v>1456</v>
      </c>
      <c r="E707" s="15" t="s">
        <v>1456</v>
      </c>
    </row>
    <row r="708" spans="1:5" x14ac:dyDescent="0.25">
      <c r="A708" s="36" t="e">
        <f>VLOOKUP($C708,'Variable Information'!$A$2:$E$480,5,FALSE)</f>
        <v>#N/A</v>
      </c>
      <c r="B708" s="36" t="e">
        <f>VLOOKUP($C708,'Variable Information'!$A$1:$C$480,3,FALSE)</f>
        <v>#N/A</v>
      </c>
      <c r="C708" s="35"/>
      <c r="D708" s="30" t="s">
        <v>1458</v>
      </c>
      <c r="E708" s="15" t="s">
        <v>1458</v>
      </c>
    </row>
    <row r="709" spans="1:5" x14ac:dyDescent="0.25">
      <c r="A709" s="36" t="e">
        <f>VLOOKUP($C709,'Variable Information'!$A$2:$E$480,5,FALSE)</f>
        <v>#N/A</v>
      </c>
      <c r="B709" s="36" t="e">
        <f>VLOOKUP($C709,'Variable Information'!$A$1:$C$480,3,FALSE)</f>
        <v>#N/A</v>
      </c>
      <c r="C709" s="35"/>
      <c r="D709" s="30" t="s">
        <v>1460</v>
      </c>
      <c r="E709" s="15" t="s">
        <v>1460</v>
      </c>
    </row>
    <row r="710" spans="1:5" x14ac:dyDescent="0.25">
      <c r="A710" s="36" t="e">
        <f>VLOOKUP($C710,'Variable Information'!$A$2:$E$480,5,FALSE)</f>
        <v>#N/A</v>
      </c>
      <c r="B710" s="36" t="e">
        <f>VLOOKUP($C710,'Variable Information'!$A$1:$C$480,3,FALSE)</f>
        <v>#N/A</v>
      </c>
      <c r="C710" s="35"/>
      <c r="D710" s="30" t="s">
        <v>1462</v>
      </c>
      <c r="E710" s="15" t="s">
        <v>1462</v>
      </c>
    </row>
    <row r="711" spans="1:5" x14ac:dyDescent="0.25">
      <c r="A711" s="36" t="e">
        <f>VLOOKUP($C711,'Variable Information'!$A$2:$E$480,5,FALSE)</f>
        <v>#N/A</v>
      </c>
      <c r="B711" s="36" t="e">
        <f>VLOOKUP($C711,'Variable Information'!$A$1:$C$480,3,FALSE)</f>
        <v>#N/A</v>
      </c>
      <c r="C711" s="35"/>
      <c r="D711" s="30" t="s">
        <v>1471</v>
      </c>
      <c r="E711" s="15" t="s">
        <v>1471</v>
      </c>
    </row>
    <row r="712" spans="1:5" x14ac:dyDescent="0.25">
      <c r="A712" s="36" t="e">
        <f>VLOOKUP($C712,'Variable Information'!$A$2:$E$480,5,FALSE)</f>
        <v>#N/A</v>
      </c>
      <c r="B712" s="36" t="e">
        <f>VLOOKUP($C712,'Variable Information'!$A$1:$C$480,3,FALSE)</f>
        <v>#N/A</v>
      </c>
      <c r="C712" s="35"/>
      <c r="D712" s="30" t="s">
        <v>1473</v>
      </c>
      <c r="E712" s="15" t="s">
        <v>1473</v>
      </c>
    </row>
    <row r="713" spans="1:5" x14ac:dyDescent="0.25">
      <c r="A713" s="36" t="e">
        <f>VLOOKUP($C713,'Variable Information'!$A$2:$E$480,5,FALSE)</f>
        <v>#N/A</v>
      </c>
      <c r="B713" s="36" t="e">
        <f>VLOOKUP($C713,'Variable Information'!$A$1:$C$480,3,FALSE)</f>
        <v>#N/A</v>
      </c>
      <c r="C713" s="35"/>
      <c r="D713" s="30" t="s">
        <v>1475</v>
      </c>
      <c r="E713" s="15" t="s">
        <v>1475</v>
      </c>
    </row>
    <row r="714" spans="1:5" x14ac:dyDescent="0.25">
      <c r="A714" s="36" t="e">
        <f>VLOOKUP($C714,'Variable Information'!$A$2:$E$480,5,FALSE)</f>
        <v>#N/A</v>
      </c>
      <c r="B714" s="36" t="e">
        <f>VLOOKUP($C714,'Variable Information'!$A$1:$C$480,3,FALSE)</f>
        <v>#N/A</v>
      </c>
      <c r="C714" s="35"/>
      <c r="D714" s="30" t="s">
        <v>1477</v>
      </c>
      <c r="E714" s="15" t="s">
        <v>1477</v>
      </c>
    </row>
    <row r="715" spans="1:5" x14ac:dyDescent="0.25">
      <c r="A715" s="36" t="e">
        <f>VLOOKUP($C715,'Variable Information'!$A$2:$E$480,5,FALSE)</f>
        <v>#N/A</v>
      </c>
      <c r="B715" s="36" t="e">
        <f>VLOOKUP($C715,'Variable Information'!$A$1:$C$480,3,FALSE)</f>
        <v>#N/A</v>
      </c>
      <c r="C715" s="35"/>
      <c r="D715" s="30" t="s">
        <v>1503</v>
      </c>
      <c r="E715" s="15" t="s">
        <v>1503</v>
      </c>
    </row>
    <row r="716" spans="1:5" x14ac:dyDescent="0.25">
      <c r="A716" s="36" t="e">
        <f>VLOOKUP($C716,'Variable Information'!$A$2:$E$480,5,FALSE)</f>
        <v>#N/A</v>
      </c>
      <c r="B716" s="36" t="e">
        <f>VLOOKUP($C716,'Variable Information'!$A$1:$C$480,3,FALSE)</f>
        <v>#N/A</v>
      </c>
      <c r="C716" s="35"/>
      <c r="D716" s="30" t="s">
        <v>1524</v>
      </c>
      <c r="E716" s="15" t="s">
        <v>1524</v>
      </c>
    </row>
    <row r="717" spans="1:5" x14ac:dyDescent="0.25">
      <c r="A717" s="36" t="str">
        <f>VLOOKUP($C717,'Variable Information'!$A$2:$E$480,5,FALSE)</f>
        <v>AJP_F1_rank</v>
      </c>
      <c r="B717" s="36" t="str">
        <f>VLOOKUP($C717,'Variable Information'!$A$1:$C$480,3,FALSE)</f>
        <v>Q23_4_6_1. Issue ranking - Separation and/or divorce</v>
      </c>
      <c r="C717" s="35" t="s">
        <v>446</v>
      </c>
      <c r="D717" s="30" t="s">
        <v>1447</v>
      </c>
      <c r="E717" s="15" t="s">
        <v>1447</v>
      </c>
    </row>
    <row r="718" spans="1:5" x14ac:dyDescent="0.25">
      <c r="A718" s="36" t="e">
        <f>VLOOKUP($C718,'Variable Information'!$A$2:$E$480,5,FALSE)</f>
        <v>#N/A</v>
      </c>
      <c r="B718" s="36" t="e">
        <f>VLOOKUP($C718,'Variable Information'!$A$1:$C$480,3,FALSE)</f>
        <v>#N/A</v>
      </c>
      <c r="C718" s="35"/>
      <c r="D718" s="30" t="s">
        <v>1449</v>
      </c>
      <c r="E718" s="15" t="s">
        <v>1449</v>
      </c>
    </row>
    <row r="719" spans="1:5" x14ac:dyDescent="0.25">
      <c r="A719" s="36" t="e">
        <f>VLOOKUP($C719,'Variable Information'!$A$2:$E$480,5,FALSE)</f>
        <v>#N/A</v>
      </c>
      <c r="B719" s="36" t="e">
        <f>VLOOKUP($C719,'Variable Information'!$A$1:$C$480,3,FALSE)</f>
        <v>#N/A</v>
      </c>
      <c r="C719" s="35"/>
      <c r="D719" s="30" t="s">
        <v>1451</v>
      </c>
      <c r="E719" s="15" t="s">
        <v>1451</v>
      </c>
    </row>
    <row r="720" spans="1:5" x14ac:dyDescent="0.25">
      <c r="A720" s="36" t="e">
        <f>VLOOKUP($C720,'Variable Information'!$A$2:$E$480,5,FALSE)</f>
        <v>#N/A</v>
      </c>
      <c r="B720" s="36" t="e">
        <f>VLOOKUP($C720,'Variable Information'!$A$1:$C$480,3,FALSE)</f>
        <v>#N/A</v>
      </c>
      <c r="C720" s="35"/>
      <c r="D720" s="30" t="s">
        <v>1456</v>
      </c>
      <c r="E720" s="15" t="s">
        <v>1456</v>
      </c>
    </row>
    <row r="721" spans="1:5" x14ac:dyDescent="0.25">
      <c r="A721" s="36" t="e">
        <f>VLOOKUP($C721,'Variable Information'!$A$2:$E$480,5,FALSE)</f>
        <v>#N/A</v>
      </c>
      <c r="B721" s="36" t="e">
        <f>VLOOKUP($C721,'Variable Information'!$A$1:$C$480,3,FALSE)</f>
        <v>#N/A</v>
      </c>
      <c r="C721" s="35"/>
      <c r="D721" s="30" t="s">
        <v>1458</v>
      </c>
      <c r="E721" s="15" t="s">
        <v>1458</v>
      </c>
    </row>
    <row r="722" spans="1:5" x14ac:dyDescent="0.25">
      <c r="A722" s="36" t="e">
        <f>VLOOKUP($C722,'Variable Information'!$A$2:$E$480,5,FALSE)</f>
        <v>#N/A</v>
      </c>
      <c r="B722" s="36" t="e">
        <f>VLOOKUP($C722,'Variable Information'!$A$1:$C$480,3,FALSE)</f>
        <v>#N/A</v>
      </c>
      <c r="C722" s="35"/>
      <c r="D722" s="30" t="s">
        <v>1460</v>
      </c>
      <c r="E722" s="15" t="s">
        <v>1460</v>
      </c>
    </row>
    <row r="723" spans="1:5" x14ac:dyDescent="0.25">
      <c r="A723" s="36" t="e">
        <f>VLOOKUP($C723,'Variable Information'!$A$2:$E$480,5,FALSE)</f>
        <v>#N/A</v>
      </c>
      <c r="B723" s="36" t="e">
        <f>VLOOKUP($C723,'Variable Information'!$A$1:$C$480,3,FALSE)</f>
        <v>#N/A</v>
      </c>
      <c r="C723" s="35"/>
      <c r="D723" s="30" t="s">
        <v>1462</v>
      </c>
      <c r="E723" s="15" t="s">
        <v>1462</v>
      </c>
    </row>
    <row r="724" spans="1:5" x14ac:dyDescent="0.25">
      <c r="A724" s="36" t="e">
        <f>VLOOKUP($C724,'Variable Information'!$A$2:$E$480,5,FALSE)</f>
        <v>#N/A</v>
      </c>
      <c r="B724" s="36" t="e">
        <f>VLOOKUP($C724,'Variable Information'!$A$1:$C$480,3,FALSE)</f>
        <v>#N/A</v>
      </c>
      <c r="C724" s="35"/>
      <c r="D724" s="30" t="s">
        <v>1471</v>
      </c>
      <c r="E724" s="15" t="s">
        <v>1471</v>
      </c>
    </row>
    <row r="725" spans="1:5" x14ac:dyDescent="0.25">
      <c r="A725" s="36" t="e">
        <f>VLOOKUP($C725,'Variable Information'!$A$2:$E$480,5,FALSE)</f>
        <v>#N/A</v>
      </c>
      <c r="B725" s="36" t="e">
        <f>VLOOKUP($C725,'Variable Information'!$A$1:$C$480,3,FALSE)</f>
        <v>#N/A</v>
      </c>
      <c r="C725" s="35"/>
      <c r="D725" s="30" t="s">
        <v>1473</v>
      </c>
      <c r="E725" s="15" t="s">
        <v>1473</v>
      </c>
    </row>
    <row r="726" spans="1:5" x14ac:dyDescent="0.25">
      <c r="A726" s="36" t="e">
        <f>VLOOKUP($C726,'Variable Information'!$A$2:$E$480,5,FALSE)</f>
        <v>#N/A</v>
      </c>
      <c r="B726" s="36" t="e">
        <f>VLOOKUP($C726,'Variable Information'!$A$1:$C$480,3,FALSE)</f>
        <v>#N/A</v>
      </c>
      <c r="C726" s="35"/>
      <c r="D726" s="30" t="s">
        <v>1475</v>
      </c>
      <c r="E726" s="15" t="s">
        <v>1475</v>
      </c>
    </row>
    <row r="727" spans="1:5" x14ac:dyDescent="0.25">
      <c r="A727" s="36" t="e">
        <f>VLOOKUP($C727,'Variable Information'!$A$2:$E$480,5,FALSE)</f>
        <v>#N/A</v>
      </c>
      <c r="B727" s="36" t="e">
        <f>VLOOKUP($C727,'Variable Information'!$A$1:$C$480,3,FALSE)</f>
        <v>#N/A</v>
      </c>
      <c r="C727" s="35"/>
      <c r="D727" s="30" t="s">
        <v>1477</v>
      </c>
      <c r="E727" s="15" t="s">
        <v>1477</v>
      </c>
    </row>
    <row r="728" spans="1:5" x14ac:dyDescent="0.25">
      <c r="A728" s="36" t="e">
        <f>VLOOKUP($C728,'Variable Information'!$A$2:$E$480,5,FALSE)</f>
        <v>#N/A</v>
      </c>
      <c r="B728" s="36" t="e">
        <f>VLOOKUP($C728,'Variable Information'!$A$1:$C$480,3,FALSE)</f>
        <v>#N/A</v>
      </c>
      <c r="C728" s="35"/>
      <c r="D728" s="30" t="s">
        <v>1503</v>
      </c>
      <c r="E728" s="15" t="s">
        <v>1503</v>
      </c>
    </row>
    <row r="729" spans="1:5" x14ac:dyDescent="0.25">
      <c r="A729" s="36" t="e">
        <f>VLOOKUP($C729,'Variable Information'!$A$2:$E$480,5,FALSE)</f>
        <v>#N/A</v>
      </c>
      <c r="B729" s="36" t="e">
        <f>VLOOKUP($C729,'Variable Information'!$A$1:$C$480,3,FALSE)</f>
        <v>#N/A</v>
      </c>
      <c r="C729" s="35"/>
      <c r="D729" s="30" t="s">
        <v>1524</v>
      </c>
      <c r="E729" s="15" t="s">
        <v>1524</v>
      </c>
    </row>
    <row r="730" spans="1:5" x14ac:dyDescent="0.25">
      <c r="A730" s="36" t="str">
        <f>VLOOKUP($C730,'Variable Information'!$A$2:$E$480,5,FALSE)</f>
        <v>AJP_F2_rank</v>
      </c>
      <c r="B730" s="36" t="str">
        <f>VLOOKUP($C730,'Variable Information'!$A$1:$C$480,3,FALSE)</f>
        <v>Q23_4_6_2. Issue ranking - Violent or controlling behaviour by a current or former partner</v>
      </c>
      <c r="C730" s="35" t="s">
        <v>449</v>
      </c>
      <c r="D730" s="30" t="s">
        <v>1447</v>
      </c>
      <c r="E730" s="15" t="s">
        <v>1447</v>
      </c>
    </row>
    <row r="731" spans="1:5" x14ac:dyDescent="0.25">
      <c r="A731" s="36" t="e">
        <f>VLOOKUP($C731,'Variable Information'!$A$2:$E$480,5,FALSE)</f>
        <v>#N/A</v>
      </c>
      <c r="B731" s="36" t="e">
        <f>VLOOKUP($C731,'Variable Information'!$A$1:$C$480,3,FALSE)</f>
        <v>#N/A</v>
      </c>
      <c r="C731" s="35"/>
      <c r="D731" s="30" t="s">
        <v>1449</v>
      </c>
      <c r="E731" s="15" t="s">
        <v>1449</v>
      </c>
    </row>
    <row r="732" spans="1:5" x14ac:dyDescent="0.25">
      <c r="A732" s="36" t="e">
        <f>VLOOKUP($C732,'Variable Information'!$A$2:$E$480,5,FALSE)</f>
        <v>#N/A</v>
      </c>
      <c r="B732" s="36" t="e">
        <f>VLOOKUP($C732,'Variable Information'!$A$1:$C$480,3,FALSE)</f>
        <v>#N/A</v>
      </c>
      <c r="C732" s="35"/>
      <c r="D732" s="30" t="s">
        <v>1451</v>
      </c>
      <c r="E732" s="15" t="s">
        <v>1451</v>
      </c>
    </row>
    <row r="733" spans="1:5" x14ac:dyDescent="0.25">
      <c r="A733" s="36" t="e">
        <f>VLOOKUP($C733,'Variable Information'!$A$2:$E$480,5,FALSE)</f>
        <v>#N/A</v>
      </c>
      <c r="B733" s="36" t="e">
        <f>VLOOKUP($C733,'Variable Information'!$A$1:$C$480,3,FALSE)</f>
        <v>#N/A</v>
      </c>
      <c r="C733" s="35"/>
      <c r="D733" s="30" t="s">
        <v>1456</v>
      </c>
      <c r="E733" s="15" t="s">
        <v>1456</v>
      </c>
    </row>
    <row r="734" spans="1:5" x14ac:dyDescent="0.25">
      <c r="A734" s="36" t="e">
        <f>VLOOKUP($C734,'Variable Information'!$A$2:$E$480,5,FALSE)</f>
        <v>#N/A</v>
      </c>
      <c r="B734" s="36" t="e">
        <f>VLOOKUP($C734,'Variable Information'!$A$1:$C$480,3,FALSE)</f>
        <v>#N/A</v>
      </c>
      <c r="C734" s="35"/>
      <c r="D734" s="30" t="s">
        <v>1458</v>
      </c>
      <c r="E734" s="15" t="s">
        <v>1458</v>
      </c>
    </row>
    <row r="735" spans="1:5" x14ac:dyDescent="0.25">
      <c r="A735" s="36" t="e">
        <f>VLOOKUP($C735,'Variable Information'!$A$2:$E$480,5,FALSE)</f>
        <v>#N/A</v>
      </c>
      <c r="B735" s="36" t="e">
        <f>VLOOKUP($C735,'Variable Information'!$A$1:$C$480,3,FALSE)</f>
        <v>#N/A</v>
      </c>
      <c r="C735" s="35"/>
      <c r="D735" s="30" t="s">
        <v>1460</v>
      </c>
      <c r="E735" s="15" t="s">
        <v>1460</v>
      </c>
    </row>
    <row r="736" spans="1:5" x14ac:dyDescent="0.25">
      <c r="A736" s="36" t="e">
        <f>VLOOKUP($C736,'Variable Information'!$A$2:$E$480,5,FALSE)</f>
        <v>#N/A</v>
      </c>
      <c r="B736" s="36" t="e">
        <f>VLOOKUP($C736,'Variable Information'!$A$1:$C$480,3,FALSE)</f>
        <v>#N/A</v>
      </c>
      <c r="C736" s="35"/>
      <c r="D736" s="30" t="s">
        <v>1462</v>
      </c>
      <c r="E736" s="15" t="s">
        <v>1462</v>
      </c>
    </row>
    <row r="737" spans="1:5" x14ac:dyDescent="0.25">
      <c r="A737" s="36" t="e">
        <f>VLOOKUP($C737,'Variable Information'!$A$2:$E$480,5,FALSE)</f>
        <v>#N/A</v>
      </c>
      <c r="B737" s="36" t="e">
        <f>VLOOKUP($C737,'Variable Information'!$A$1:$C$480,3,FALSE)</f>
        <v>#N/A</v>
      </c>
      <c r="C737" s="35"/>
      <c r="D737" s="30" t="s">
        <v>1471</v>
      </c>
      <c r="E737" s="15" t="s">
        <v>1471</v>
      </c>
    </row>
    <row r="738" spans="1:5" x14ac:dyDescent="0.25">
      <c r="A738" s="36" t="e">
        <f>VLOOKUP($C738,'Variable Information'!$A$2:$E$480,5,FALSE)</f>
        <v>#N/A</v>
      </c>
      <c r="B738" s="36" t="e">
        <f>VLOOKUP($C738,'Variable Information'!$A$1:$C$480,3,FALSE)</f>
        <v>#N/A</v>
      </c>
      <c r="C738" s="35"/>
      <c r="D738" s="30" t="s">
        <v>1473</v>
      </c>
      <c r="E738" s="15" t="s">
        <v>1473</v>
      </c>
    </row>
    <row r="739" spans="1:5" x14ac:dyDescent="0.25">
      <c r="A739" s="36" t="e">
        <f>VLOOKUP($C739,'Variable Information'!$A$2:$E$480,5,FALSE)</f>
        <v>#N/A</v>
      </c>
      <c r="B739" s="36" t="e">
        <f>VLOOKUP($C739,'Variable Information'!$A$1:$C$480,3,FALSE)</f>
        <v>#N/A</v>
      </c>
      <c r="C739" s="35"/>
      <c r="D739" s="30" t="s">
        <v>1475</v>
      </c>
      <c r="E739" s="15" t="s">
        <v>1475</v>
      </c>
    </row>
    <row r="740" spans="1:5" x14ac:dyDescent="0.25">
      <c r="A740" s="36" t="e">
        <f>VLOOKUP($C740,'Variable Information'!$A$2:$E$480,5,FALSE)</f>
        <v>#N/A</v>
      </c>
      <c r="B740" s="36" t="e">
        <f>VLOOKUP($C740,'Variable Information'!$A$1:$C$480,3,FALSE)</f>
        <v>#N/A</v>
      </c>
      <c r="C740" s="35"/>
      <c r="D740" s="30" t="s">
        <v>1477</v>
      </c>
      <c r="E740" s="15" t="s">
        <v>1477</v>
      </c>
    </row>
    <row r="741" spans="1:5" x14ac:dyDescent="0.25">
      <c r="A741" s="36" t="e">
        <f>VLOOKUP($C741,'Variable Information'!$A$2:$E$480,5,FALSE)</f>
        <v>#N/A</v>
      </c>
      <c r="B741" s="36" t="e">
        <f>VLOOKUP($C741,'Variable Information'!$A$1:$C$480,3,FALSE)</f>
        <v>#N/A</v>
      </c>
      <c r="C741" s="35"/>
      <c r="D741" s="30" t="s">
        <v>1503</v>
      </c>
      <c r="E741" s="15" t="s">
        <v>1503</v>
      </c>
    </row>
    <row r="742" spans="1:5" x14ac:dyDescent="0.25">
      <c r="A742" s="36" t="e">
        <f>VLOOKUP($C742,'Variable Information'!$A$2:$E$480,5,FALSE)</f>
        <v>#N/A</v>
      </c>
      <c r="B742" s="36" t="e">
        <f>VLOOKUP($C742,'Variable Information'!$A$1:$C$480,3,FALSE)</f>
        <v>#N/A</v>
      </c>
      <c r="C742" s="35"/>
      <c r="D742" s="30" t="s">
        <v>1524</v>
      </c>
      <c r="E742" s="15" t="s">
        <v>1524</v>
      </c>
    </row>
    <row r="743" spans="1:5" x14ac:dyDescent="0.25">
      <c r="A743" s="36" t="str">
        <f>VLOOKUP($C743,'Variable Information'!$A$2:$E$480,5,FALSE)</f>
        <v>AJP_F3_rank</v>
      </c>
      <c r="B743" s="36" t="str">
        <f>VLOOKUP($C743,'Variable Information'!$A$1:$C$480,3,FALSE)</f>
        <v>Q23_4_6_3. Issue ranking - Violent or controlling behaviour by another family member</v>
      </c>
      <c r="C743" s="35" t="s">
        <v>452</v>
      </c>
      <c r="D743" s="30" t="s">
        <v>1447</v>
      </c>
      <c r="E743" s="15" t="s">
        <v>1447</v>
      </c>
    </row>
    <row r="744" spans="1:5" x14ac:dyDescent="0.25">
      <c r="A744" s="36" t="e">
        <f>VLOOKUP($C744,'Variable Information'!$A$2:$E$480,5,FALSE)</f>
        <v>#N/A</v>
      </c>
      <c r="B744" s="36" t="e">
        <f>VLOOKUP($C744,'Variable Information'!$A$1:$C$480,3,FALSE)</f>
        <v>#N/A</v>
      </c>
      <c r="C744" s="35"/>
      <c r="D744" s="30" t="s">
        <v>1449</v>
      </c>
      <c r="E744" s="15" t="s">
        <v>1449</v>
      </c>
    </row>
    <row r="745" spans="1:5" x14ac:dyDescent="0.25">
      <c r="A745" s="36" t="e">
        <f>VLOOKUP($C745,'Variable Information'!$A$2:$E$480,5,FALSE)</f>
        <v>#N/A</v>
      </c>
      <c r="B745" s="36" t="e">
        <f>VLOOKUP($C745,'Variable Information'!$A$1:$C$480,3,FALSE)</f>
        <v>#N/A</v>
      </c>
      <c r="C745" s="35"/>
      <c r="D745" s="30" t="s">
        <v>1451</v>
      </c>
      <c r="E745" s="15" t="s">
        <v>1451</v>
      </c>
    </row>
    <row r="746" spans="1:5" x14ac:dyDescent="0.25">
      <c r="A746" s="36" t="e">
        <f>VLOOKUP($C746,'Variable Information'!$A$2:$E$480,5,FALSE)</f>
        <v>#N/A</v>
      </c>
      <c r="B746" s="36" t="e">
        <f>VLOOKUP($C746,'Variable Information'!$A$1:$C$480,3,FALSE)</f>
        <v>#N/A</v>
      </c>
      <c r="C746" s="35"/>
      <c r="D746" s="30" t="s">
        <v>1456</v>
      </c>
      <c r="E746" s="15" t="s">
        <v>1456</v>
      </c>
    </row>
    <row r="747" spans="1:5" x14ac:dyDescent="0.25">
      <c r="A747" s="36" t="e">
        <f>VLOOKUP($C747,'Variable Information'!$A$2:$E$480,5,FALSE)</f>
        <v>#N/A</v>
      </c>
      <c r="B747" s="36" t="e">
        <f>VLOOKUP($C747,'Variable Information'!$A$1:$C$480,3,FALSE)</f>
        <v>#N/A</v>
      </c>
      <c r="C747" s="35"/>
      <c r="D747" s="30" t="s">
        <v>1458</v>
      </c>
      <c r="E747" s="15" t="s">
        <v>1458</v>
      </c>
    </row>
    <row r="748" spans="1:5" x14ac:dyDescent="0.25">
      <c r="A748" s="36" t="e">
        <f>VLOOKUP($C748,'Variable Information'!$A$2:$E$480,5,FALSE)</f>
        <v>#N/A</v>
      </c>
      <c r="B748" s="36" t="e">
        <f>VLOOKUP($C748,'Variable Information'!$A$1:$C$480,3,FALSE)</f>
        <v>#N/A</v>
      </c>
      <c r="C748" s="35"/>
      <c r="D748" s="30" t="s">
        <v>1460</v>
      </c>
      <c r="E748" s="15" t="s">
        <v>1460</v>
      </c>
    </row>
    <row r="749" spans="1:5" x14ac:dyDescent="0.25">
      <c r="A749" s="36" t="e">
        <f>VLOOKUP($C749,'Variable Information'!$A$2:$E$480,5,FALSE)</f>
        <v>#N/A</v>
      </c>
      <c r="B749" s="36" t="e">
        <f>VLOOKUP($C749,'Variable Information'!$A$1:$C$480,3,FALSE)</f>
        <v>#N/A</v>
      </c>
      <c r="C749" s="35"/>
      <c r="D749" s="30" t="s">
        <v>1462</v>
      </c>
      <c r="E749" s="15" t="s">
        <v>1462</v>
      </c>
    </row>
    <row r="750" spans="1:5" x14ac:dyDescent="0.25">
      <c r="A750" s="36" t="e">
        <f>VLOOKUP($C750,'Variable Information'!$A$2:$E$480,5,FALSE)</f>
        <v>#N/A</v>
      </c>
      <c r="B750" s="36" t="e">
        <f>VLOOKUP($C750,'Variable Information'!$A$1:$C$480,3,FALSE)</f>
        <v>#N/A</v>
      </c>
      <c r="C750" s="35"/>
      <c r="D750" s="30" t="s">
        <v>1471</v>
      </c>
      <c r="E750" s="15" t="s">
        <v>1471</v>
      </c>
    </row>
    <row r="751" spans="1:5" x14ac:dyDescent="0.25">
      <c r="A751" s="36" t="e">
        <f>VLOOKUP($C751,'Variable Information'!$A$2:$E$480,5,FALSE)</f>
        <v>#N/A</v>
      </c>
      <c r="B751" s="36" t="e">
        <f>VLOOKUP($C751,'Variable Information'!$A$1:$C$480,3,FALSE)</f>
        <v>#N/A</v>
      </c>
      <c r="C751" s="35"/>
      <c r="D751" s="30" t="s">
        <v>1473</v>
      </c>
      <c r="E751" s="15" t="s">
        <v>1473</v>
      </c>
    </row>
    <row r="752" spans="1:5" x14ac:dyDescent="0.25">
      <c r="A752" s="36" t="e">
        <f>VLOOKUP($C752,'Variable Information'!$A$2:$E$480,5,FALSE)</f>
        <v>#N/A</v>
      </c>
      <c r="B752" s="36" t="e">
        <f>VLOOKUP($C752,'Variable Information'!$A$1:$C$480,3,FALSE)</f>
        <v>#N/A</v>
      </c>
      <c r="C752" s="35"/>
      <c r="D752" s="30" t="s">
        <v>1475</v>
      </c>
      <c r="E752" s="15" t="s">
        <v>1475</v>
      </c>
    </row>
    <row r="753" spans="1:5" x14ac:dyDescent="0.25">
      <c r="A753" s="36" t="e">
        <f>VLOOKUP($C753,'Variable Information'!$A$2:$E$480,5,FALSE)</f>
        <v>#N/A</v>
      </c>
      <c r="B753" s="36" t="e">
        <f>VLOOKUP($C753,'Variable Information'!$A$1:$C$480,3,FALSE)</f>
        <v>#N/A</v>
      </c>
      <c r="C753" s="35"/>
      <c r="D753" s="30" t="s">
        <v>1477</v>
      </c>
      <c r="E753" s="15" t="s">
        <v>1477</v>
      </c>
    </row>
    <row r="754" spans="1:5" x14ac:dyDescent="0.25">
      <c r="A754" s="36" t="e">
        <f>VLOOKUP($C754,'Variable Information'!$A$2:$E$480,5,FALSE)</f>
        <v>#N/A</v>
      </c>
      <c r="B754" s="36" t="e">
        <f>VLOOKUP($C754,'Variable Information'!$A$1:$C$480,3,FALSE)</f>
        <v>#N/A</v>
      </c>
      <c r="C754" s="35"/>
      <c r="D754" s="30" t="s">
        <v>1503</v>
      </c>
      <c r="E754" s="15" t="s">
        <v>1503</v>
      </c>
    </row>
    <row r="755" spans="1:5" x14ac:dyDescent="0.25">
      <c r="A755" s="36" t="e">
        <f>VLOOKUP($C755,'Variable Information'!$A$2:$E$480,5,FALSE)</f>
        <v>#N/A</v>
      </c>
      <c r="B755" s="36" t="e">
        <f>VLOOKUP($C755,'Variable Information'!$A$1:$C$480,3,FALSE)</f>
        <v>#N/A</v>
      </c>
      <c r="C755" s="35"/>
      <c r="D755" s="30" t="s">
        <v>1524</v>
      </c>
      <c r="E755" s="15" t="s">
        <v>1524</v>
      </c>
    </row>
    <row r="756" spans="1:5" x14ac:dyDescent="0.25">
      <c r="A756" s="36" t="str">
        <f>VLOOKUP($C756,'Variable Information'!$A$2:$E$480,5,FALSE)</f>
        <v>AJP_F4_rank</v>
      </c>
      <c r="B756" s="36" t="str">
        <f>VLOOKUP($C756,'Variable Information'!$A$1:$C$480,3,FALSE)</f>
        <v>Q23_4_6_4. Issue ranking - Issues related to child access custody or child/spousal maintenance</v>
      </c>
      <c r="C756" s="35" t="s">
        <v>455</v>
      </c>
      <c r="D756" s="30" t="s">
        <v>1447</v>
      </c>
      <c r="E756" s="15" t="s">
        <v>1447</v>
      </c>
    </row>
    <row r="757" spans="1:5" x14ac:dyDescent="0.25">
      <c r="A757" s="36" t="e">
        <f>VLOOKUP($C757,'Variable Information'!$A$2:$E$480,5,FALSE)</f>
        <v>#N/A</v>
      </c>
      <c r="B757" s="36" t="e">
        <f>VLOOKUP($C757,'Variable Information'!$A$1:$C$480,3,FALSE)</f>
        <v>#N/A</v>
      </c>
      <c r="C757" s="35"/>
      <c r="D757" s="30" t="s">
        <v>1449</v>
      </c>
      <c r="E757" s="15" t="s">
        <v>1449</v>
      </c>
    </row>
    <row r="758" spans="1:5" x14ac:dyDescent="0.25">
      <c r="A758" s="36" t="e">
        <f>VLOOKUP($C758,'Variable Information'!$A$2:$E$480,5,FALSE)</f>
        <v>#N/A</v>
      </c>
      <c r="B758" s="36" t="e">
        <f>VLOOKUP($C758,'Variable Information'!$A$1:$C$480,3,FALSE)</f>
        <v>#N/A</v>
      </c>
      <c r="C758" s="35"/>
      <c r="D758" s="30" t="s">
        <v>1451</v>
      </c>
      <c r="E758" s="15" t="s">
        <v>1451</v>
      </c>
    </row>
    <row r="759" spans="1:5" x14ac:dyDescent="0.25">
      <c r="A759" s="36" t="e">
        <f>VLOOKUP($C759,'Variable Information'!$A$2:$E$480,5,FALSE)</f>
        <v>#N/A</v>
      </c>
      <c r="B759" s="36" t="e">
        <f>VLOOKUP($C759,'Variable Information'!$A$1:$C$480,3,FALSE)</f>
        <v>#N/A</v>
      </c>
      <c r="C759" s="35"/>
      <c r="D759" s="30" t="s">
        <v>1456</v>
      </c>
      <c r="E759" s="15" t="s">
        <v>1456</v>
      </c>
    </row>
    <row r="760" spans="1:5" x14ac:dyDescent="0.25">
      <c r="A760" s="36" t="e">
        <f>VLOOKUP($C760,'Variable Information'!$A$2:$E$480,5,FALSE)</f>
        <v>#N/A</v>
      </c>
      <c r="B760" s="36" t="e">
        <f>VLOOKUP($C760,'Variable Information'!$A$1:$C$480,3,FALSE)</f>
        <v>#N/A</v>
      </c>
      <c r="C760" s="35"/>
      <c r="D760" s="30" t="s">
        <v>1458</v>
      </c>
      <c r="E760" s="15" t="s">
        <v>1458</v>
      </c>
    </row>
    <row r="761" spans="1:5" x14ac:dyDescent="0.25">
      <c r="A761" s="36" t="e">
        <f>VLOOKUP($C761,'Variable Information'!$A$2:$E$480,5,FALSE)</f>
        <v>#N/A</v>
      </c>
      <c r="B761" s="36" t="e">
        <f>VLOOKUP($C761,'Variable Information'!$A$1:$C$480,3,FALSE)</f>
        <v>#N/A</v>
      </c>
      <c r="C761" s="35"/>
      <c r="D761" s="30" t="s">
        <v>1460</v>
      </c>
      <c r="E761" s="15" t="s">
        <v>1460</v>
      </c>
    </row>
    <row r="762" spans="1:5" x14ac:dyDescent="0.25">
      <c r="A762" s="36" t="e">
        <f>VLOOKUP($C762,'Variable Information'!$A$2:$E$480,5,FALSE)</f>
        <v>#N/A</v>
      </c>
      <c r="B762" s="36" t="e">
        <f>VLOOKUP($C762,'Variable Information'!$A$1:$C$480,3,FALSE)</f>
        <v>#N/A</v>
      </c>
      <c r="C762" s="35"/>
      <c r="D762" s="30" t="s">
        <v>1462</v>
      </c>
      <c r="E762" s="15" t="s">
        <v>1462</v>
      </c>
    </row>
    <row r="763" spans="1:5" x14ac:dyDescent="0.25">
      <c r="A763" s="36" t="e">
        <f>VLOOKUP($C763,'Variable Information'!$A$2:$E$480,5,FALSE)</f>
        <v>#N/A</v>
      </c>
      <c r="B763" s="36" t="e">
        <f>VLOOKUP($C763,'Variable Information'!$A$1:$C$480,3,FALSE)</f>
        <v>#N/A</v>
      </c>
      <c r="C763" s="35"/>
      <c r="D763" s="30" t="s">
        <v>1471</v>
      </c>
      <c r="E763" s="15" t="s">
        <v>1471</v>
      </c>
    </row>
    <row r="764" spans="1:5" x14ac:dyDescent="0.25">
      <c r="A764" s="36" t="e">
        <f>VLOOKUP($C764,'Variable Information'!$A$2:$E$480,5,FALSE)</f>
        <v>#N/A</v>
      </c>
      <c r="B764" s="36" t="e">
        <f>VLOOKUP($C764,'Variable Information'!$A$1:$C$480,3,FALSE)</f>
        <v>#N/A</v>
      </c>
      <c r="C764" s="35"/>
      <c r="D764" s="30" t="s">
        <v>1473</v>
      </c>
      <c r="E764" s="15" t="s">
        <v>1473</v>
      </c>
    </row>
    <row r="765" spans="1:5" x14ac:dyDescent="0.25">
      <c r="A765" s="36" t="e">
        <f>VLOOKUP($C765,'Variable Information'!$A$2:$E$480,5,FALSE)</f>
        <v>#N/A</v>
      </c>
      <c r="B765" s="36" t="e">
        <f>VLOOKUP($C765,'Variable Information'!$A$1:$C$480,3,FALSE)</f>
        <v>#N/A</v>
      </c>
      <c r="C765" s="35"/>
      <c r="D765" s="30" t="s">
        <v>1475</v>
      </c>
      <c r="E765" s="15" t="s">
        <v>1475</v>
      </c>
    </row>
    <row r="766" spans="1:5" x14ac:dyDescent="0.25">
      <c r="A766" s="36" t="e">
        <f>VLOOKUP($C766,'Variable Information'!$A$2:$E$480,5,FALSE)</f>
        <v>#N/A</v>
      </c>
      <c r="B766" s="36" t="e">
        <f>VLOOKUP($C766,'Variable Information'!$A$1:$C$480,3,FALSE)</f>
        <v>#N/A</v>
      </c>
      <c r="C766" s="35"/>
      <c r="D766" s="30" t="s">
        <v>1477</v>
      </c>
      <c r="E766" s="15" t="s">
        <v>1477</v>
      </c>
    </row>
    <row r="767" spans="1:5" x14ac:dyDescent="0.25">
      <c r="A767" s="36" t="e">
        <f>VLOOKUP($C767,'Variable Information'!$A$2:$E$480,5,FALSE)</f>
        <v>#N/A</v>
      </c>
      <c r="B767" s="36" t="e">
        <f>VLOOKUP($C767,'Variable Information'!$A$1:$C$480,3,FALSE)</f>
        <v>#N/A</v>
      </c>
      <c r="C767" s="35"/>
      <c r="D767" s="30" t="s">
        <v>1503</v>
      </c>
      <c r="E767" s="15" t="s">
        <v>1503</v>
      </c>
    </row>
    <row r="768" spans="1:5" x14ac:dyDescent="0.25">
      <c r="A768" s="36" t="e">
        <f>VLOOKUP($C768,'Variable Information'!$A$2:$E$480,5,FALSE)</f>
        <v>#N/A</v>
      </c>
      <c r="B768" s="36" t="e">
        <f>VLOOKUP($C768,'Variable Information'!$A$1:$C$480,3,FALSE)</f>
        <v>#N/A</v>
      </c>
      <c r="C768" s="35"/>
      <c r="D768" s="30" t="s">
        <v>1524</v>
      </c>
      <c r="E768" s="15" t="s">
        <v>1524</v>
      </c>
    </row>
    <row r="769" spans="1:5" x14ac:dyDescent="0.25">
      <c r="A769" s="36" t="str">
        <f>VLOOKUP($C769,'Variable Information'!$A$2:$E$480,5,FALSE)</f>
        <v>AJP_F5_rank</v>
      </c>
      <c r="B769" s="36" t="str">
        <f>VLOOKUP($C769,'Variable Information'!$A$1:$C$480,3,FALSE)</f>
        <v>Q23_4_6_5. Issue ranking - Problems or disputes related to elderly or other dependent adult care</v>
      </c>
      <c r="C769" s="35" t="s">
        <v>458</v>
      </c>
      <c r="D769" s="30" t="s">
        <v>1447</v>
      </c>
      <c r="E769" s="15" t="s">
        <v>1447</v>
      </c>
    </row>
    <row r="770" spans="1:5" x14ac:dyDescent="0.25">
      <c r="A770" s="36" t="e">
        <f>VLOOKUP($C770,'Variable Information'!$A$2:$E$480,5,FALSE)</f>
        <v>#N/A</v>
      </c>
      <c r="B770" s="36" t="e">
        <f>VLOOKUP($C770,'Variable Information'!$A$1:$C$480,3,FALSE)</f>
        <v>#N/A</v>
      </c>
      <c r="C770" s="35"/>
      <c r="D770" s="30" t="s">
        <v>1449</v>
      </c>
      <c r="E770" s="15" t="s">
        <v>1449</v>
      </c>
    </row>
    <row r="771" spans="1:5" x14ac:dyDescent="0.25">
      <c r="A771" s="36" t="e">
        <f>VLOOKUP($C771,'Variable Information'!$A$2:$E$480,5,FALSE)</f>
        <v>#N/A</v>
      </c>
      <c r="B771" s="36" t="e">
        <f>VLOOKUP($C771,'Variable Information'!$A$1:$C$480,3,FALSE)</f>
        <v>#N/A</v>
      </c>
      <c r="C771" s="35"/>
      <c r="D771" s="30" t="s">
        <v>1451</v>
      </c>
      <c r="E771" s="15" t="s">
        <v>1451</v>
      </c>
    </row>
    <row r="772" spans="1:5" x14ac:dyDescent="0.25">
      <c r="A772" s="36" t="e">
        <f>VLOOKUP($C772,'Variable Information'!$A$2:$E$480,5,FALSE)</f>
        <v>#N/A</v>
      </c>
      <c r="B772" s="36" t="e">
        <f>VLOOKUP($C772,'Variable Information'!$A$1:$C$480,3,FALSE)</f>
        <v>#N/A</v>
      </c>
      <c r="C772" s="35"/>
      <c r="D772" s="30" t="s">
        <v>1456</v>
      </c>
      <c r="E772" s="15" t="s">
        <v>1456</v>
      </c>
    </row>
    <row r="773" spans="1:5" x14ac:dyDescent="0.25">
      <c r="A773" s="36" t="e">
        <f>VLOOKUP($C773,'Variable Information'!$A$2:$E$480,5,FALSE)</f>
        <v>#N/A</v>
      </c>
      <c r="B773" s="36" t="e">
        <f>VLOOKUP($C773,'Variable Information'!$A$1:$C$480,3,FALSE)</f>
        <v>#N/A</v>
      </c>
      <c r="C773" s="35"/>
      <c r="D773" s="30" t="s">
        <v>1458</v>
      </c>
      <c r="E773" s="15" t="s">
        <v>1458</v>
      </c>
    </row>
    <row r="774" spans="1:5" x14ac:dyDescent="0.25">
      <c r="A774" s="36" t="e">
        <f>VLOOKUP($C774,'Variable Information'!$A$2:$E$480,5,FALSE)</f>
        <v>#N/A</v>
      </c>
      <c r="B774" s="36" t="e">
        <f>VLOOKUP($C774,'Variable Information'!$A$1:$C$480,3,FALSE)</f>
        <v>#N/A</v>
      </c>
      <c r="C774" s="35"/>
      <c r="D774" s="30" t="s">
        <v>1460</v>
      </c>
      <c r="E774" s="15" t="s">
        <v>1460</v>
      </c>
    </row>
    <row r="775" spans="1:5" x14ac:dyDescent="0.25">
      <c r="A775" s="36" t="e">
        <f>VLOOKUP($C775,'Variable Information'!$A$2:$E$480,5,FALSE)</f>
        <v>#N/A</v>
      </c>
      <c r="B775" s="36" t="e">
        <f>VLOOKUP($C775,'Variable Information'!$A$1:$C$480,3,FALSE)</f>
        <v>#N/A</v>
      </c>
      <c r="C775" s="35"/>
      <c r="D775" s="30" t="s">
        <v>1462</v>
      </c>
      <c r="E775" s="15" t="s">
        <v>1462</v>
      </c>
    </row>
    <row r="776" spans="1:5" x14ac:dyDescent="0.25">
      <c r="A776" s="36" t="e">
        <f>VLOOKUP($C776,'Variable Information'!$A$2:$E$480,5,FALSE)</f>
        <v>#N/A</v>
      </c>
      <c r="B776" s="36" t="e">
        <f>VLOOKUP($C776,'Variable Information'!$A$1:$C$480,3,FALSE)</f>
        <v>#N/A</v>
      </c>
      <c r="C776" s="35"/>
      <c r="D776" s="30" t="s">
        <v>1471</v>
      </c>
      <c r="E776" s="15" t="s">
        <v>1471</v>
      </c>
    </row>
    <row r="777" spans="1:5" x14ac:dyDescent="0.25">
      <c r="A777" s="36" t="e">
        <f>VLOOKUP($C777,'Variable Information'!$A$2:$E$480,5,FALSE)</f>
        <v>#N/A</v>
      </c>
      <c r="B777" s="36" t="e">
        <f>VLOOKUP($C777,'Variable Information'!$A$1:$C$480,3,FALSE)</f>
        <v>#N/A</v>
      </c>
      <c r="C777" s="35"/>
      <c r="D777" s="30" t="s">
        <v>1473</v>
      </c>
      <c r="E777" s="15" t="s">
        <v>1473</v>
      </c>
    </row>
    <row r="778" spans="1:5" x14ac:dyDescent="0.25">
      <c r="A778" s="36" t="e">
        <f>VLOOKUP($C778,'Variable Information'!$A$2:$E$480,5,FALSE)</f>
        <v>#N/A</v>
      </c>
      <c r="B778" s="36" t="e">
        <f>VLOOKUP($C778,'Variable Information'!$A$1:$C$480,3,FALSE)</f>
        <v>#N/A</v>
      </c>
      <c r="C778" s="35"/>
      <c r="D778" s="30" t="s">
        <v>1475</v>
      </c>
      <c r="E778" s="15" t="s">
        <v>1475</v>
      </c>
    </row>
    <row r="779" spans="1:5" x14ac:dyDescent="0.25">
      <c r="A779" s="36" t="e">
        <f>VLOOKUP($C779,'Variable Information'!$A$2:$E$480,5,FALSE)</f>
        <v>#N/A</v>
      </c>
      <c r="B779" s="36" t="e">
        <f>VLOOKUP($C779,'Variable Information'!$A$1:$C$480,3,FALSE)</f>
        <v>#N/A</v>
      </c>
      <c r="C779" s="35"/>
      <c r="D779" s="30" t="s">
        <v>1477</v>
      </c>
      <c r="E779" s="15" t="s">
        <v>1477</v>
      </c>
    </row>
    <row r="780" spans="1:5" x14ac:dyDescent="0.25">
      <c r="A780" s="36" t="e">
        <f>VLOOKUP($C780,'Variable Information'!$A$2:$E$480,5,FALSE)</f>
        <v>#N/A</v>
      </c>
      <c r="B780" s="36" t="e">
        <f>VLOOKUP($C780,'Variable Information'!$A$1:$C$480,3,FALSE)</f>
        <v>#N/A</v>
      </c>
      <c r="C780" s="35"/>
      <c r="D780" s="30" t="s">
        <v>1503</v>
      </c>
      <c r="E780" s="15" t="s">
        <v>1503</v>
      </c>
    </row>
    <row r="781" spans="1:5" x14ac:dyDescent="0.25">
      <c r="A781" s="36" t="e">
        <f>VLOOKUP($C781,'Variable Information'!$A$2:$E$480,5,FALSE)</f>
        <v>#N/A</v>
      </c>
      <c r="B781" s="36" t="e">
        <f>VLOOKUP($C781,'Variable Information'!$A$1:$C$480,3,FALSE)</f>
        <v>#N/A</v>
      </c>
      <c r="C781" s="35"/>
      <c r="D781" s="30" t="s">
        <v>1524</v>
      </c>
      <c r="E781" s="15" t="s">
        <v>1524</v>
      </c>
    </row>
    <row r="782" spans="1:5" x14ac:dyDescent="0.25">
      <c r="A782" s="36" t="str">
        <f>VLOOKUP($C782,'Variable Information'!$A$2:$E$480,5,FALSE)</f>
        <v>AJP_F6_rank</v>
      </c>
      <c r="B782" s="36" t="str">
        <f>VLOOKUP($C782,'Variable Information'!$A$1:$C$480,3,FALSE)</f>
        <v>Q23_4_6_6. Issue ranking - Disputes related to inheritance or a will</v>
      </c>
      <c r="C782" s="35" t="s">
        <v>461</v>
      </c>
      <c r="D782" s="30" t="s">
        <v>1447</v>
      </c>
      <c r="E782" s="15" t="s">
        <v>1447</v>
      </c>
    </row>
    <row r="783" spans="1:5" x14ac:dyDescent="0.25">
      <c r="A783" s="36" t="e">
        <f>VLOOKUP($C783,'Variable Information'!$A$2:$E$480,5,FALSE)</f>
        <v>#N/A</v>
      </c>
      <c r="B783" s="36" t="e">
        <f>VLOOKUP($C783,'Variable Information'!$A$1:$C$480,3,FALSE)</f>
        <v>#N/A</v>
      </c>
      <c r="C783" s="35"/>
      <c r="D783" s="30" t="s">
        <v>1449</v>
      </c>
      <c r="E783" s="15" t="s">
        <v>1449</v>
      </c>
    </row>
    <row r="784" spans="1:5" x14ac:dyDescent="0.25">
      <c r="A784" s="36" t="e">
        <f>VLOOKUP($C784,'Variable Information'!$A$2:$E$480,5,FALSE)</f>
        <v>#N/A</v>
      </c>
      <c r="B784" s="36" t="e">
        <f>VLOOKUP($C784,'Variable Information'!$A$1:$C$480,3,FALSE)</f>
        <v>#N/A</v>
      </c>
      <c r="C784" s="35"/>
      <c r="D784" s="30" t="s">
        <v>1451</v>
      </c>
      <c r="E784" s="15" t="s">
        <v>1451</v>
      </c>
    </row>
    <row r="785" spans="1:5" x14ac:dyDescent="0.25">
      <c r="A785" s="36" t="e">
        <f>VLOOKUP($C785,'Variable Information'!$A$2:$E$480,5,FALSE)</f>
        <v>#N/A</v>
      </c>
      <c r="B785" s="36" t="e">
        <f>VLOOKUP($C785,'Variable Information'!$A$1:$C$480,3,FALSE)</f>
        <v>#N/A</v>
      </c>
      <c r="C785" s="35"/>
      <c r="D785" s="30" t="s">
        <v>1456</v>
      </c>
      <c r="E785" s="15" t="s">
        <v>1456</v>
      </c>
    </row>
    <row r="786" spans="1:5" x14ac:dyDescent="0.25">
      <c r="A786" s="36" t="e">
        <f>VLOOKUP($C786,'Variable Information'!$A$2:$E$480,5,FALSE)</f>
        <v>#N/A</v>
      </c>
      <c r="B786" s="36" t="e">
        <f>VLOOKUP($C786,'Variable Information'!$A$1:$C$480,3,FALSE)</f>
        <v>#N/A</v>
      </c>
      <c r="C786" s="35"/>
      <c r="D786" s="30" t="s">
        <v>1458</v>
      </c>
      <c r="E786" s="15" t="s">
        <v>1458</v>
      </c>
    </row>
    <row r="787" spans="1:5" x14ac:dyDescent="0.25">
      <c r="A787" s="36" t="e">
        <f>VLOOKUP($C787,'Variable Information'!$A$2:$E$480,5,FALSE)</f>
        <v>#N/A</v>
      </c>
      <c r="B787" s="36" t="e">
        <f>VLOOKUP($C787,'Variable Information'!$A$1:$C$480,3,FALSE)</f>
        <v>#N/A</v>
      </c>
      <c r="C787" s="35"/>
      <c r="D787" s="30" t="s">
        <v>1460</v>
      </c>
      <c r="E787" s="15" t="s">
        <v>1460</v>
      </c>
    </row>
    <row r="788" spans="1:5" x14ac:dyDescent="0.25">
      <c r="A788" s="36" t="e">
        <f>VLOOKUP($C788,'Variable Information'!$A$2:$E$480,5,FALSE)</f>
        <v>#N/A</v>
      </c>
      <c r="B788" s="36" t="e">
        <f>VLOOKUP($C788,'Variable Information'!$A$1:$C$480,3,FALSE)</f>
        <v>#N/A</v>
      </c>
      <c r="C788" s="35"/>
      <c r="D788" s="30" t="s">
        <v>1462</v>
      </c>
      <c r="E788" s="15" t="s">
        <v>1462</v>
      </c>
    </row>
    <row r="789" spans="1:5" x14ac:dyDescent="0.25">
      <c r="A789" s="36" t="e">
        <f>VLOOKUP($C789,'Variable Information'!$A$2:$E$480,5,FALSE)</f>
        <v>#N/A</v>
      </c>
      <c r="B789" s="36" t="e">
        <f>VLOOKUP($C789,'Variable Information'!$A$1:$C$480,3,FALSE)</f>
        <v>#N/A</v>
      </c>
      <c r="C789" s="35"/>
      <c r="D789" s="30" t="s">
        <v>1471</v>
      </c>
      <c r="E789" s="15" t="s">
        <v>1471</v>
      </c>
    </row>
    <row r="790" spans="1:5" x14ac:dyDescent="0.25">
      <c r="A790" s="36" t="e">
        <f>VLOOKUP($C790,'Variable Information'!$A$2:$E$480,5,FALSE)</f>
        <v>#N/A</v>
      </c>
      <c r="B790" s="36" t="e">
        <f>VLOOKUP($C790,'Variable Information'!$A$1:$C$480,3,FALSE)</f>
        <v>#N/A</v>
      </c>
      <c r="C790" s="35"/>
      <c r="D790" s="30" t="s">
        <v>1473</v>
      </c>
      <c r="E790" s="15" t="s">
        <v>1473</v>
      </c>
    </row>
    <row r="791" spans="1:5" x14ac:dyDescent="0.25">
      <c r="A791" s="36" t="e">
        <f>VLOOKUP($C791,'Variable Information'!$A$2:$E$480,5,FALSE)</f>
        <v>#N/A</v>
      </c>
      <c r="B791" s="36" t="e">
        <f>VLOOKUP($C791,'Variable Information'!$A$1:$C$480,3,FALSE)</f>
        <v>#N/A</v>
      </c>
      <c r="C791" s="35"/>
      <c r="D791" s="30" t="s">
        <v>1475</v>
      </c>
      <c r="E791" s="15" t="s">
        <v>1475</v>
      </c>
    </row>
    <row r="792" spans="1:5" x14ac:dyDescent="0.25">
      <c r="A792" s="36" t="e">
        <f>VLOOKUP($C792,'Variable Information'!$A$2:$E$480,5,FALSE)</f>
        <v>#N/A</v>
      </c>
      <c r="B792" s="36" t="e">
        <f>VLOOKUP($C792,'Variable Information'!$A$1:$C$480,3,FALSE)</f>
        <v>#N/A</v>
      </c>
      <c r="C792" s="35"/>
      <c r="D792" s="30" t="s">
        <v>1477</v>
      </c>
      <c r="E792" s="15" t="s">
        <v>1477</v>
      </c>
    </row>
    <row r="793" spans="1:5" x14ac:dyDescent="0.25">
      <c r="A793" s="36" t="e">
        <f>VLOOKUP($C793,'Variable Information'!$A$2:$E$480,5,FALSE)</f>
        <v>#N/A</v>
      </c>
      <c r="B793" s="36" t="e">
        <f>VLOOKUP($C793,'Variable Information'!$A$1:$C$480,3,FALSE)</f>
        <v>#N/A</v>
      </c>
      <c r="C793" s="35"/>
      <c r="D793" s="30" t="s">
        <v>1503</v>
      </c>
      <c r="E793" s="15" t="s">
        <v>1503</v>
      </c>
    </row>
    <row r="794" spans="1:5" x14ac:dyDescent="0.25">
      <c r="A794" s="36" t="e">
        <f>VLOOKUP($C794,'Variable Information'!$A$2:$E$480,5,FALSE)</f>
        <v>#N/A</v>
      </c>
      <c r="B794" s="36" t="e">
        <f>VLOOKUP($C794,'Variable Information'!$A$1:$C$480,3,FALSE)</f>
        <v>#N/A</v>
      </c>
      <c r="C794" s="35"/>
      <c r="D794" s="30" t="s">
        <v>1524</v>
      </c>
      <c r="E794" s="15" t="s">
        <v>1524</v>
      </c>
    </row>
    <row r="795" spans="1:5" x14ac:dyDescent="0.25">
      <c r="A795" s="36" t="str">
        <f>VLOOKUP($C795,'Variable Information'!$A$2:$E$480,5,FALSE)</f>
        <v>AJP_G1_rank</v>
      </c>
      <c r="B795" s="36" t="str">
        <f>VLOOKUP($C795,'Variable Information'!$A$1:$C$480,3,FALSE)</f>
        <v>Q23_4_7_1. Issue ranking - Issues obtaining or with an Irish visa or residence card renewal</v>
      </c>
      <c r="C795" s="35" t="s">
        <v>464</v>
      </c>
      <c r="D795" s="30" t="s">
        <v>1447</v>
      </c>
      <c r="E795" s="15" t="s">
        <v>1447</v>
      </c>
    </row>
    <row r="796" spans="1:5" x14ac:dyDescent="0.25">
      <c r="A796" s="36" t="e">
        <f>VLOOKUP($C796,'Variable Information'!$A$2:$E$480,5,FALSE)</f>
        <v>#N/A</v>
      </c>
      <c r="B796" s="36" t="e">
        <f>VLOOKUP($C796,'Variable Information'!$A$1:$C$480,3,FALSE)</f>
        <v>#N/A</v>
      </c>
      <c r="C796" s="35"/>
      <c r="D796" s="30" t="s">
        <v>1449</v>
      </c>
      <c r="E796" s="15" t="s">
        <v>1449</v>
      </c>
    </row>
    <row r="797" spans="1:5" x14ac:dyDescent="0.25">
      <c r="A797" s="36" t="e">
        <f>VLOOKUP($C797,'Variable Information'!$A$2:$E$480,5,FALSE)</f>
        <v>#N/A</v>
      </c>
      <c r="B797" s="36" t="e">
        <f>VLOOKUP($C797,'Variable Information'!$A$1:$C$480,3,FALSE)</f>
        <v>#N/A</v>
      </c>
      <c r="C797" s="35"/>
      <c r="D797" s="30" t="s">
        <v>1451</v>
      </c>
      <c r="E797" s="15" t="s">
        <v>1451</v>
      </c>
    </row>
    <row r="798" spans="1:5" x14ac:dyDescent="0.25">
      <c r="A798" s="36" t="e">
        <f>VLOOKUP($C798,'Variable Information'!$A$2:$E$480,5,FALSE)</f>
        <v>#N/A</v>
      </c>
      <c r="B798" s="36" t="e">
        <f>VLOOKUP($C798,'Variable Information'!$A$1:$C$480,3,FALSE)</f>
        <v>#N/A</v>
      </c>
      <c r="C798" s="35"/>
      <c r="D798" s="30" t="s">
        <v>1456</v>
      </c>
      <c r="E798" s="15" t="s">
        <v>1456</v>
      </c>
    </row>
    <row r="799" spans="1:5" x14ac:dyDescent="0.25">
      <c r="A799" s="36" t="e">
        <f>VLOOKUP($C799,'Variable Information'!$A$2:$E$480,5,FALSE)</f>
        <v>#N/A</v>
      </c>
      <c r="B799" s="36" t="e">
        <f>VLOOKUP($C799,'Variable Information'!$A$1:$C$480,3,FALSE)</f>
        <v>#N/A</v>
      </c>
      <c r="C799" s="35"/>
      <c r="D799" s="30" t="s">
        <v>1458</v>
      </c>
      <c r="E799" s="15" t="s">
        <v>1458</v>
      </c>
    </row>
    <row r="800" spans="1:5" x14ac:dyDescent="0.25">
      <c r="A800" s="36" t="e">
        <f>VLOOKUP($C800,'Variable Information'!$A$2:$E$480,5,FALSE)</f>
        <v>#N/A</v>
      </c>
      <c r="B800" s="36" t="e">
        <f>VLOOKUP($C800,'Variable Information'!$A$1:$C$480,3,FALSE)</f>
        <v>#N/A</v>
      </c>
      <c r="C800" s="35"/>
      <c r="D800" s="30" t="s">
        <v>1460</v>
      </c>
      <c r="E800" s="15" t="s">
        <v>1460</v>
      </c>
    </row>
    <row r="801" spans="1:5" x14ac:dyDescent="0.25">
      <c r="A801" s="36" t="e">
        <f>VLOOKUP($C801,'Variable Information'!$A$2:$E$480,5,FALSE)</f>
        <v>#N/A</v>
      </c>
      <c r="B801" s="36" t="e">
        <f>VLOOKUP($C801,'Variable Information'!$A$1:$C$480,3,FALSE)</f>
        <v>#N/A</v>
      </c>
      <c r="C801" s="35"/>
      <c r="D801" s="30" t="s">
        <v>1462</v>
      </c>
      <c r="E801" s="15" t="s">
        <v>1462</v>
      </c>
    </row>
    <row r="802" spans="1:5" x14ac:dyDescent="0.25">
      <c r="A802" s="36" t="e">
        <f>VLOOKUP($C802,'Variable Information'!$A$2:$E$480,5,FALSE)</f>
        <v>#N/A</v>
      </c>
      <c r="B802" s="36" t="e">
        <f>VLOOKUP($C802,'Variable Information'!$A$1:$C$480,3,FALSE)</f>
        <v>#N/A</v>
      </c>
      <c r="C802" s="35"/>
      <c r="D802" s="30" t="s">
        <v>1471</v>
      </c>
      <c r="E802" s="15" t="s">
        <v>1471</v>
      </c>
    </row>
    <row r="803" spans="1:5" x14ac:dyDescent="0.25">
      <c r="A803" s="36" t="e">
        <f>VLOOKUP($C803,'Variable Information'!$A$2:$E$480,5,FALSE)</f>
        <v>#N/A</v>
      </c>
      <c r="B803" s="36" t="e">
        <f>VLOOKUP($C803,'Variable Information'!$A$1:$C$480,3,FALSE)</f>
        <v>#N/A</v>
      </c>
      <c r="C803" s="35"/>
      <c r="D803" s="30" t="s">
        <v>1473</v>
      </c>
      <c r="E803" s="15" t="s">
        <v>1473</v>
      </c>
    </row>
    <row r="804" spans="1:5" x14ac:dyDescent="0.25">
      <c r="A804" s="36" t="e">
        <f>VLOOKUP($C804,'Variable Information'!$A$2:$E$480,5,FALSE)</f>
        <v>#N/A</v>
      </c>
      <c r="B804" s="36" t="e">
        <f>VLOOKUP($C804,'Variable Information'!$A$1:$C$480,3,FALSE)</f>
        <v>#N/A</v>
      </c>
      <c r="C804" s="35"/>
      <c r="D804" s="30" t="s">
        <v>1475</v>
      </c>
      <c r="E804" s="15" t="s">
        <v>1475</v>
      </c>
    </row>
    <row r="805" spans="1:5" x14ac:dyDescent="0.25">
      <c r="A805" s="36" t="e">
        <f>VLOOKUP($C805,'Variable Information'!$A$2:$E$480,5,FALSE)</f>
        <v>#N/A</v>
      </c>
      <c r="B805" s="36" t="e">
        <f>VLOOKUP($C805,'Variable Information'!$A$1:$C$480,3,FALSE)</f>
        <v>#N/A</v>
      </c>
      <c r="C805" s="35"/>
      <c r="D805" s="30" t="s">
        <v>1477</v>
      </c>
      <c r="E805" s="15" t="s">
        <v>1477</v>
      </c>
    </row>
    <row r="806" spans="1:5" x14ac:dyDescent="0.25">
      <c r="A806" s="36" t="e">
        <f>VLOOKUP($C806,'Variable Information'!$A$2:$E$480,5,FALSE)</f>
        <v>#N/A</v>
      </c>
      <c r="B806" s="36" t="e">
        <f>VLOOKUP($C806,'Variable Information'!$A$1:$C$480,3,FALSE)</f>
        <v>#N/A</v>
      </c>
      <c r="C806" s="35"/>
      <c r="D806" s="30" t="s">
        <v>1503</v>
      </c>
      <c r="E806" s="15" t="s">
        <v>1503</v>
      </c>
    </row>
    <row r="807" spans="1:5" x14ac:dyDescent="0.25">
      <c r="A807" s="36" t="e">
        <f>VLOOKUP($C807,'Variable Information'!$A$2:$E$480,5,FALSE)</f>
        <v>#N/A</v>
      </c>
      <c r="B807" s="36" t="e">
        <f>VLOOKUP($C807,'Variable Information'!$A$1:$C$480,3,FALSE)</f>
        <v>#N/A</v>
      </c>
      <c r="C807" s="35"/>
      <c r="D807" s="30" t="s">
        <v>1524</v>
      </c>
      <c r="E807" s="15" t="s">
        <v>1524</v>
      </c>
    </row>
    <row r="808" spans="1:5" x14ac:dyDescent="0.25">
      <c r="A808" s="36" t="str">
        <f>VLOOKUP($C808,'Variable Information'!$A$2:$E$480,5,FALSE)</f>
        <v>AJP_G2_rank</v>
      </c>
      <c r="B808" s="36" t="str">
        <f>VLOOKUP($C808,'Variable Information'!$A$1:$C$480,3,FALSE)</f>
        <v>Q23_4_7_2. Issue ranking - Issues seeking international protection subsidiary protection or permission to remain</v>
      </c>
      <c r="C808" s="35" t="s">
        <v>467</v>
      </c>
      <c r="D808" s="30" t="s">
        <v>1447</v>
      </c>
      <c r="E808" s="15" t="s">
        <v>1447</v>
      </c>
    </row>
    <row r="809" spans="1:5" x14ac:dyDescent="0.25">
      <c r="A809" s="36" t="e">
        <f>VLOOKUP($C809,'Variable Information'!$A$2:$E$480,5,FALSE)</f>
        <v>#N/A</v>
      </c>
      <c r="B809" s="36" t="e">
        <f>VLOOKUP($C809,'Variable Information'!$A$1:$C$480,3,FALSE)</f>
        <v>#N/A</v>
      </c>
      <c r="C809" s="35"/>
      <c r="D809" s="30" t="s">
        <v>1449</v>
      </c>
      <c r="E809" s="15" t="s">
        <v>1449</v>
      </c>
    </row>
    <row r="810" spans="1:5" x14ac:dyDescent="0.25">
      <c r="A810" s="36" t="e">
        <f>VLOOKUP($C810,'Variable Information'!$A$2:$E$480,5,FALSE)</f>
        <v>#N/A</v>
      </c>
      <c r="B810" s="36" t="e">
        <f>VLOOKUP($C810,'Variable Information'!$A$1:$C$480,3,FALSE)</f>
        <v>#N/A</v>
      </c>
      <c r="C810" s="35"/>
      <c r="D810" s="30" t="s">
        <v>1451</v>
      </c>
      <c r="E810" s="15" t="s">
        <v>1451</v>
      </c>
    </row>
    <row r="811" spans="1:5" x14ac:dyDescent="0.25">
      <c r="A811" s="36" t="e">
        <f>VLOOKUP($C811,'Variable Information'!$A$2:$E$480,5,FALSE)</f>
        <v>#N/A</v>
      </c>
      <c r="B811" s="36" t="e">
        <f>VLOOKUP($C811,'Variable Information'!$A$1:$C$480,3,FALSE)</f>
        <v>#N/A</v>
      </c>
      <c r="C811" s="35"/>
      <c r="D811" s="30" t="s">
        <v>1456</v>
      </c>
      <c r="E811" s="15" t="s">
        <v>1456</v>
      </c>
    </row>
    <row r="812" spans="1:5" x14ac:dyDescent="0.25">
      <c r="A812" s="36" t="e">
        <f>VLOOKUP($C812,'Variable Information'!$A$2:$E$480,5,FALSE)</f>
        <v>#N/A</v>
      </c>
      <c r="B812" s="36" t="e">
        <f>VLOOKUP($C812,'Variable Information'!$A$1:$C$480,3,FALSE)</f>
        <v>#N/A</v>
      </c>
      <c r="C812" s="35"/>
      <c r="D812" s="30" t="s">
        <v>1458</v>
      </c>
      <c r="E812" s="15" t="s">
        <v>1458</v>
      </c>
    </row>
    <row r="813" spans="1:5" x14ac:dyDescent="0.25">
      <c r="A813" s="36" t="e">
        <f>VLOOKUP($C813,'Variable Information'!$A$2:$E$480,5,FALSE)</f>
        <v>#N/A</v>
      </c>
      <c r="B813" s="36" t="e">
        <f>VLOOKUP($C813,'Variable Information'!$A$1:$C$480,3,FALSE)</f>
        <v>#N/A</v>
      </c>
      <c r="C813" s="35"/>
      <c r="D813" s="30" t="s">
        <v>1460</v>
      </c>
      <c r="E813" s="15" t="s">
        <v>1460</v>
      </c>
    </row>
    <row r="814" spans="1:5" x14ac:dyDescent="0.25">
      <c r="A814" s="36" t="e">
        <f>VLOOKUP($C814,'Variable Information'!$A$2:$E$480,5,FALSE)</f>
        <v>#N/A</v>
      </c>
      <c r="B814" s="36" t="e">
        <f>VLOOKUP($C814,'Variable Information'!$A$1:$C$480,3,FALSE)</f>
        <v>#N/A</v>
      </c>
      <c r="C814" s="35"/>
      <c r="D814" s="30" t="s">
        <v>1462</v>
      </c>
      <c r="E814" s="15" t="s">
        <v>1462</v>
      </c>
    </row>
    <row r="815" spans="1:5" x14ac:dyDescent="0.25">
      <c r="A815" s="36" t="e">
        <f>VLOOKUP($C815,'Variable Information'!$A$2:$E$480,5,FALSE)</f>
        <v>#N/A</v>
      </c>
      <c r="B815" s="36" t="e">
        <f>VLOOKUP($C815,'Variable Information'!$A$1:$C$480,3,FALSE)</f>
        <v>#N/A</v>
      </c>
      <c r="C815" s="35"/>
      <c r="D815" s="30" t="s">
        <v>1471</v>
      </c>
      <c r="E815" s="15" t="s">
        <v>1471</v>
      </c>
    </row>
    <row r="816" spans="1:5" x14ac:dyDescent="0.25">
      <c r="A816" s="36" t="e">
        <f>VLOOKUP($C816,'Variable Information'!$A$2:$E$480,5,FALSE)</f>
        <v>#N/A</v>
      </c>
      <c r="B816" s="36" t="e">
        <f>VLOOKUP($C816,'Variable Information'!$A$1:$C$480,3,FALSE)</f>
        <v>#N/A</v>
      </c>
      <c r="C816" s="35"/>
      <c r="D816" s="30" t="s">
        <v>1473</v>
      </c>
      <c r="E816" s="15" t="s">
        <v>1473</v>
      </c>
    </row>
    <row r="817" spans="1:5" x14ac:dyDescent="0.25">
      <c r="A817" s="36" t="e">
        <f>VLOOKUP($C817,'Variable Information'!$A$2:$E$480,5,FALSE)</f>
        <v>#N/A</v>
      </c>
      <c r="B817" s="36" t="e">
        <f>VLOOKUP($C817,'Variable Information'!$A$1:$C$480,3,FALSE)</f>
        <v>#N/A</v>
      </c>
      <c r="C817" s="35"/>
      <c r="D817" s="30" t="s">
        <v>1475</v>
      </c>
      <c r="E817" s="15" t="s">
        <v>1475</v>
      </c>
    </row>
    <row r="818" spans="1:5" x14ac:dyDescent="0.25">
      <c r="A818" s="36" t="e">
        <f>VLOOKUP($C818,'Variable Information'!$A$2:$E$480,5,FALSE)</f>
        <v>#N/A</v>
      </c>
      <c r="B818" s="36" t="e">
        <f>VLOOKUP($C818,'Variable Information'!$A$1:$C$480,3,FALSE)</f>
        <v>#N/A</v>
      </c>
      <c r="C818" s="35"/>
      <c r="D818" s="30" t="s">
        <v>1477</v>
      </c>
      <c r="E818" s="15" t="s">
        <v>1477</v>
      </c>
    </row>
    <row r="819" spans="1:5" x14ac:dyDescent="0.25">
      <c r="A819" s="36" t="e">
        <f>VLOOKUP($C819,'Variable Information'!$A$2:$E$480,5,FALSE)</f>
        <v>#N/A</v>
      </c>
      <c r="B819" s="36" t="e">
        <f>VLOOKUP($C819,'Variable Information'!$A$1:$C$480,3,FALSE)</f>
        <v>#N/A</v>
      </c>
      <c r="C819" s="35"/>
      <c r="D819" s="30" t="s">
        <v>1503</v>
      </c>
      <c r="E819" s="15" t="s">
        <v>1503</v>
      </c>
    </row>
    <row r="820" spans="1:5" x14ac:dyDescent="0.25">
      <c r="A820" s="36" t="e">
        <f>VLOOKUP($C820,'Variable Information'!$A$2:$E$480,5,FALSE)</f>
        <v>#N/A</v>
      </c>
      <c r="B820" s="36" t="e">
        <f>VLOOKUP($C820,'Variable Information'!$A$1:$C$480,3,FALSE)</f>
        <v>#N/A</v>
      </c>
      <c r="C820" s="35"/>
      <c r="D820" s="30" t="s">
        <v>1524</v>
      </c>
      <c r="E820" s="15" t="s">
        <v>1524</v>
      </c>
    </row>
    <row r="821" spans="1:5" x14ac:dyDescent="0.25">
      <c r="A821" s="36" t="str">
        <f>VLOOKUP($C821,'Variable Information'!$A$2:$E$480,5,FALSE)</f>
        <v>AJP_G3_rank</v>
      </c>
      <c r="B821" s="36" t="str">
        <f>VLOOKUP($C821,'Variable Information'!$A$1:$C$480,3,FALSE)</f>
        <v>Q23_4_7_3. Issue ranking - Issues with an overseas visa / EU residence / emigration</v>
      </c>
      <c r="C821" s="35" t="s">
        <v>470</v>
      </c>
      <c r="D821" s="30" t="s">
        <v>1447</v>
      </c>
      <c r="E821" s="15" t="s">
        <v>1447</v>
      </c>
    </row>
    <row r="822" spans="1:5" x14ac:dyDescent="0.25">
      <c r="A822" s="36" t="e">
        <f>VLOOKUP($C822,'Variable Information'!$A$2:$E$480,5,FALSE)</f>
        <v>#N/A</v>
      </c>
      <c r="B822" s="36" t="e">
        <f>VLOOKUP($C822,'Variable Information'!$A$1:$C$480,3,FALSE)</f>
        <v>#N/A</v>
      </c>
      <c r="C822" s="35"/>
      <c r="D822" s="30" t="s">
        <v>1449</v>
      </c>
      <c r="E822" s="15" t="s">
        <v>1449</v>
      </c>
    </row>
    <row r="823" spans="1:5" x14ac:dyDescent="0.25">
      <c r="A823" s="36" t="e">
        <f>VLOOKUP($C823,'Variable Information'!$A$2:$E$480,5,FALSE)</f>
        <v>#N/A</v>
      </c>
      <c r="B823" s="36" t="e">
        <f>VLOOKUP($C823,'Variable Information'!$A$1:$C$480,3,FALSE)</f>
        <v>#N/A</v>
      </c>
      <c r="C823" s="35"/>
      <c r="D823" s="30" t="s">
        <v>1451</v>
      </c>
      <c r="E823" s="15" t="s">
        <v>1451</v>
      </c>
    </row>
    <row r="824" spans="1:5" x14ac:dyDescent="0.25">
      <c r="A824" s="36" t="e">
        <f>VLOOKUP($C824,'Variable Information'!$A$2:$E$480,5,FALSE)</f>
        <v>#N/A</v>
      </c>
      <c r="B824" s="36" t="e">
        <f>VLOOKUP($C824,'Variable Information'!$A$1:$C$480,3,FALSE)</f>
        <v>#N/A</v>
      </c>
      <c r="C824" s="35"/>
      <c r="D824" s="30" t="s">
        <v>1456</v>
      </c>
      <c r="E824" s="15" t="s">
        <v>1456</v>
      </c>
    </row>
    <row r="825" spans="1:5" x14ac:dyDescent="0.25">
      <c r="A825" s="36" t="e">
        <f>VLOOKUP($C825,'Variable Information'!$A$2:$E$480,5,FALSE)</f>
        <v>#N/A</v>
      </c>
      <c r="B825" s="36" t="e">
        <f>VLOOKUP($C825,'Variable Information'!$A$1:$C$480,3,FALSE)</f>
        <v>#N/A</v>
      </c>
      <c r="C825" s="35"/>
      <c r="D825" s="30" t="s">
        <v>1458</v>
      </c>
      <c r="E825" s="15" t="s">
        <v>1458</v>
      </c>
    </row>
    <row r="826" spans="1:5" x14ac:dyDescent="0.25">
      <c r="A826" s="36" t="e">
        <f>VLOOKUP($C826,'Variable Information'!$A$2:$E$480,5,FALSE)</f>
        <v>#N/A</v>
      </c>
      <c r="B826" s="36" t="e">
        <f>VLOOKUP($C826,'Variable Information'!$A$1:$C$480,3,FALSE)</f>
        <v>#N/A</v>
      </c>
      <c r="C826" s="35"/>
      <c r="D826" s="30" t="s">
        <v>1460</v>
      </c>
      <c r="E826" s="15" t="s">
        <v>1460</v>
      </c>
    </row>
    <row r="827" spans="1:5" x14ac:dyDescent="0.25">
      <c r="A827" s="36" t="e">
        <f>VLOOKUP($C827,'Variable Information'!$A$2:$E$480,5,FALSE)</f>
        <v>#N/A</v>
      </c>
      <c r="B827" s="36" t="e">
        <f>VLOOKUP($C827,'Variable Information'!$A$1:$C$480,3,FALSE)</f>
        <v>#N/A</v>
      </c>
      <c r="C827" s="35"/>
      <c r="D827" s="30" t="s">
        <v>1462</v>
      </c>
      <c r="E827" s="15" t="s">
        <v>1462</v>
      </c>
    </row>
    <row r="828" spans="1:5" x14ac:dyDescent="0.25">
      <c r="A828" s="36" t="e">
        <f>VLOOKUP($C828,'Variable Information'!$A$2:$E$480,5,FALSE)</f>
        <v>#N/A</v>
      </c>
      <c r="B828" s="36" t="e">
        <f>VLOOKUP($C828,'Variable Information'!$A$1:$C$480,3,FALSE)</f>
        <v>#N/A</v>
      </c>
      <c r="C828" s="35"/>
      <c r="D828" s="30" t="s">
        <v>1471</v>
      </c>
      <c r="E828" s="15" t="s">
        <v>1471</v>
      </c>
    </row>
    <row r="829" spans="1:5" x14ac:dyDescent="0.25">
      <c r="A829" s="36" t="e">
        <f>VLOOKUP($C829,'Variable Information'!$A$2:$E$480,5,FALSE)</f>
        <v>#N/A</v>
      </c>
      <c r="B829" s="36" t="e">
        <f>VLOOKUP($C829,'Variable Information'!$A$1:$C$480,3,FALSE)</f>
        <v>#N/A</v>
      </c>
      <c r="C829" s="35"/>
      <c r="D829" s="30" t="s">
        <v>1473</v>
      </c>
      <c r="E829" s="15" t="s">
        <v>1473</v>
      </c>
    </row>
    <row r="830" spans="1:5" x14ac:dyDescent="0.25">
      <c r="A830" s="36" t="e">
        <f>VLOOKUP($C830,'Variable Information'!$A$2:$E$480,5,FALSE)</f>
        <v>#N/A</v>
      </c>
      <c r="B830" s="36" t="e">
        <f>VLOOKUP($C830,'Variable Information'!$A$1:$C$480,3,FALSE)</f>
        <v>#N/A</v>
      </c>
      <c r="C830" s="35"/>
      <c r="D830" s="30" t="s">
        <v>1475</v>
      </c>
      <c r="E830" s="15" t="s">
        <v>1475</v>
      </c>
    </row>
    <row r="831" spans="1:5" x14ac:dyDescent="0.25">
      <c r="A831" s="36" t="e">
        <f>VLOOKUP($C831,'Variable Information'!$A$2:$E$480,5,FALSE)</f>
        <v>#N/A</v>
      </c>
      <c r="B831" s="36" t="e">
        <f>VLOOKUP($C831,'Variable Information'!$A$1:$C$480,3,FALSE)</f>
        <v>#N/A</v>
      </c>
      <c r="C831" s="35"/>
      <c r="D831" s="30" t="s">
        <v>1477</v>
      </c>
      <c r="E831" s="15" t="s">
        <v>1477</v>
      </c>
    </row>
    <row r="832" spans="1:5" x14ac:dyDescent="0.25">
      <c r="A832" s="36" t="e">
        <f>VLOOKUP($C832,'Variable Information'!$A$2:$E$480,5,FALSE)</f>
        <v>#N/A</v>
      </c>
      <c r="B832" s="36" t="e">
        <f>VLOOKUP($C832,'Variable Information'!$A$1:$C$480,3,FALSE)</f>
        <v>#N/A</v>
      </c>
      <c r="C832" s="35"/>
      <c r="D832" s="30" t="s">
        <v>1503</v>
      </c>
      <c r="E832" s="15" t="s">
        <v>1503</v>
      </c>
    </row>
    <row r="833" spans="1:5" x14ac:dyDescent="0.25">
      <c r="A833" s="36" t="e">
        <f>VLOOKUP($C833,'Variable Information'!$A$2:$E$480,5,FALSE)</f>
        <v>#N/A</v>
      </c>
      <c r="B833" s="36" t="e">
        <f>VLOOKUP($C833,'Variable Information'!$A$1:$C$480,3,FALSE)</f>
        <v>#N/A</v>
      </c>
      <c r="C833" s="35"/>
      <c r="D833" s="30" t="s">
        <v>1524</v>
      </c>
      <c r="E833" s="15" t="s">
        <v>1524</v>
      </c>
    </row>
    <row r="834" spans="1:5" x14ac:dyDescent="0.25">
      <c r="A834" s="36" t="str">
        <f>VLOOKUP($C834,'Variable Information'!$A$2:$E$480,5,FALSE)</f>
        <v>AJP_G4_rank</v>
      </c>
      <c r="B834" s="36" t="str">
        <f>VLOOKUP($C834,'Variable Information'!$A$1:$C$480,3,FALSE)</f>
        <v>Q23_4_7_4. Issue ranking - Issues applying for Irish naturalisation/citizenship</v>
      </c>
      <c r="C834" s="35" t="s">
        <v>473</v>
      </c>
      <c r="D834" s="30" t="s">
        <v>1447</v>
      </c>
      <c r="E834" s="15" t="s">
        <v>1447</v>
      </c>
    </row>
    <row r="835" spans="1:5" x14ac:dyDescent="0.25">
      <c r="A835" s="36" t="e">
        <f>VLOOKUP($C835,'Variable Information'!$A$2:$E$480,5,FALSE)</f>
        <v>#N/A</v>
      </c>
      <c r="B835" s="36" t="e">
        <f>VLOOKUP($C835,'Variable Information'!$A$1:$C$480,3,FALSE)</f>
        <v>#N/A</v>
      </c>
      <c r="C835" s="35"/>
      <c r="D835" s="30" t="s">
        <v>1449</v>
      </c>
      <c r="E835" s="15" t="s">
        <v>1449</v>
      </c>
    </row>
    <row r="836" spans="1:5" x14ac:dyDescent="0.25">
      <c r="A836" s="36" t="e">
        <f>VLOOKUP($C836,'Variable Information'!$A$2:$E$480,5,FALSE)</f>
        <v>#N/A</v>
      </c>
      <c r="B836" s="36" t="e">
        <f>VLOOKUP($C836,'Variable Information'!$A$1:$C$480,3,FALSE)</f>
        <v>#N/A</v>
      </c>
      <c r="C836" s="35"/>
      <c r="D836" s="30" t="s">
        <v>1451</v>
      </c>
      <c r="E836" s="15" t="s">
        <v>1451</v>
      </c>
    </row>
    <row r="837" spans="1:5" x14ac:dyDescent="0.25">
      <c r="A837" s="36" t="e">
        <f>VLOOKUP($C837,'Variable Information'!$A$2:$E$480,5,FALSE)</f>
        <v>#N/A</v>
      </c>
      <c r="B837" s="36" t="e">
        <f>VLOOKUP($C837,'Variable Information'!$A$1:$C$480,3,FALSE)</f>
        <v>#N/A</v>
      </c>
      <c r="C837" s="35"/>
      <c r="D837" s="30" t="s">
        <v>1456</v>
      </c>
      <c r="E837" s="15" t="s">
        <v>1456</v>
      </c>
    </row>
    <row r="838" spans="1:5" x14ac:dyDescent="0.25">
      <c r="A838" s="36" t="e">
        <f>VLOOKUP($C838,'Variable Information'!$A$2:$E$480,5,FALSE)</f>
        <v>#N/A</v>
      </c>
      <c r="B838" s="36" t="e">
        <f>VLOOKUP($C838,'Variable Information'!$A$1:$C$480,3,FALSE)</f>
        <v>#N/A</v>
      </c>
      <c r="C838" s="35"/>
      <c r="D838" s="30" t="s">
        <v>1458</v>
      </c>
      <c r="E838" s="15" t="s">
        <v>1458</v>
      </c>
    </row>
    <row r="839" spans="1:5" x14ac:dyDescent="0.25">
      <c r="A839" s="36" t="e">
        <f>VLOOKUP($C839,'Variable Information'!$A$2:$E$480,5,FALSE)</f>
        <v>#N/A</v>
      </c>
      <c r="B839" s="36" t="e">
        <f>VLOOKUP($C839,'Variable Information'!$A$1:$C$480,3,FALSE)</f>
        <v>#N/A</v>
      </c>
      <c r="C839" s="35"/>
      <c r="D839" s="30" t="s">
        <v>1460</v>
      </c>
      <c r="E839" s="15" t="s">
        <v>1460</v>
      </c>
    </row>
    <row r="840" spans="1:5" x14ac:dyDescent="0.25">
      <c r="A840" s="36" t="e">
        <f>VLOOKUP($C840,'Variable Information'!$A$2:$E$480,5,FALSE)</f>
        <v>#N/A</v>
      </c>
      <c r="B840" s="36" t="e">
        <f>VLOOKUP($C840,'Variable Information'!$A$1:$C$480,3,FALSE)</f>
        <v>#N/A</v>
      </c>
      <c r="C840" s="35"/>
      <c r="D840" s="30" t="s">
        <v>1462</v>
      </c>
      <c r="E840" s="15" t="s">
        <v>1462</v>
      </c>
    </row>
    <row r="841" spans="1:5" x14ac:dyDescent="0.25">
      <c r="A841" s="36" t="e">
        <f>VLOOKUP($C841,'Variable Information'!$A$2:$E$480,5,FALSE)</f>
        <v>#N/A</v>
      </c>
      <c r="B841" s="36" t="e">
        <f>VLOOKUP($C841,'Variable Information'!$A$1:$C$480,3,FALSE)</f>
        <v>#N/A</v>
      </c>
      <c r="C841" s="35"/>
      <c r="D841" s="30" t="s">
        <v>1471</v>
      </c>
      <c r="E841" s="15" t="s">
        <v>1471</v>
      </c>
    </row>
    <row r="842" spans="1:5" x14ac:dyDescent="0.25">
      <c r="A842" s="36" t="e">
        <f>VLOOKUP($C842,'Variable Information'!$A$2:$E$480,5,FALSE)</f>
        <v>#N/A</v>
      </c>
      <c r="B842" s="36" t="e">
        <f>VLOOKUP($C842,'Variable Information'!$A$1:$C$480,3,FALSE)</f>
        <v>#N/A</v>
      </c>
      <c r="C842" s="35"/>
      <c r="D842" s="30" t="s">
        <v>1473</v>
      </c>
      <c r="E842" s="15" t="s">
        <v>1473</v>
      </c>
    </row>
    <row r="843" spans="1:5" x14ac:dyDescent="0.25">
      <c r="A843" s="36" t="e">
        <f>VLOOKUP($C843,'Variable Information'!$A$2:$E$480,5,FALSE)</f>
        <v>#N/A</v>
      </c>
      <c r="B843" s="36" t="e">
        <f>VLOOKUP($C843,'Variable Information'!$A$1:$C$480,3,FALSE)</f>
        <v>#N/A</v>
      </c>
      <c r="C843" s="35"/>
      <c r="D843" s="30" t="s">
        <v>1475</v>
      </c>
      <c r="E843" s="15" t="s">
        <v>1475</v>
      </c>
    </row>
    <row r="844" spans="1:5" x14ac:dyDescent="0.25">
      <c r="A844" s="36" t="e">
        <f>VLOOKUP($C844,'Variable Information'!$A$2:$E$480,5,FALSE)</f>
        <v>#N/A</v>
      </c>
      <c r="B844" s="36" t="e">
        <f>VLOOKUP($C844,'Variable Information'!$A$1:$C$480,3,FALSE)</f>
        <v>#N/A</v>
      </c>
      <c r="C844" s="35"/>
      <c r="D844" s="30" t="s">
        <v>1477</v>
      </c>
      <c r="E844" s="15" t="s">
        <v>1477</v>
      </c>
    </row>
    <row r="845" spans="1:5" x14ac:dyDescent="0.25">
      <c r="A845" s="36" t="e">
        <f>VLOOKUP($C845,'Variable Information'!$A$2:$E$480,5,FALSE)</f>
        <v>#N/A</v>
      </c>
      <c r="B845" s="36" t="e">
        <f>VLOOKUP($C845,'Variable Information'!$A$1:$C$480,3,FALSE)</f>
        <v>#N/A</v>
      </c>
      <c r="C845" s="35"/>
      <c r="D845" s="30" t="s">
        <v>1503</v>
      </c>
      <c r="E845" s="15" t="s">
        <v>1503</v>
      </c>
    </row>
    <row r="846" spans="1:5" x14ac:dyDescent="0.25">
      <c r="A846" s="36" t="e">
        <f>VLOOKUP($C846,'Variable Information'!$A$2:$E$480,5,FALSE)</f>
        <v>#N/A</v>
      </c>
      <c r="B846" s="36" t="e">
        <f>VLOOKUP($C846,'Variable Information'!$A$1:$C$480,3,FALSE)</f>
        <v>#N/A</v>
      </c>
      <c r="C846" s="35"/>
      <c r="D846" s="30" t="s">
        <v>1524</v>
      </c>
      <c r="E846" s="15" t="s">
        <v>1524</v>
      </c>
    </row>
    <row r="847" spans="1:5" x14ac:dyDescent="0.25">
      <c r="A847" s="36" t="str">
        <f>VLOOKUP($C847,'Variable Information'!$A$2:$E$480,5,FALSE)</f>
        <v>AJP_G5_rank</v>
      </c>
      <c r="B847" s="36" t="str">
        <f>VLOOKUP($C847,'Variable Information'!$A$1:$C$480,3,FALSE)</f>
        <v>Q23_4_7_5. Issue ranking - Other citizenship or migration related issue</v>
      </c>
      <c r="C847" s="35" t="s">
        <v>476</v>
      </c>
      <c r="D847" s="30" t="s">
        <v>1447</v>
      </c>
      <c r="E847" s="15" t="s">
        <v>1447</v>
      </c>
    </row>
    <row r="848" spans="1:5" x14ac:dyDescent="0.25">
      <c r="A848" s="36" t="e">
        <f>VLOOKUP($C848,'Variable Information'!$A$2:$E$480,5,FALSE)</f>
        <v>#N/A</v>
      </c>
      <c r="B848" s="36" t="e">
        <f>VLOOKUP($C848,'Variable Information'!$A$1:$C$480,3,FALSE)</f>
        <v>#N/A</v>
      </c>
      <c r="C848" s="35"/>
      <c r="D848" s="30" t="s">
        <v>1449</v>
      </c>
      <c r="E848" s="15" t="s">
        <v>1449</v>
      </c>
    </row>
    <row r="849" spans="1:5" x14ac:dyDescent="0.25">
      <c r="A849" s="36" t="e">
        <f>VLOOKUP($C849,'Variable Information'!$A$2:$E$480,5,FALSE)</f>
        <v>#N/A</v>
      </c>
      <c r="B849" s="36" t="e">
        <f>VLOOKUP($C849,'Variable Information'!$A$1:$C$480,3,FALSE)</f>
        <v>#N/A</v>
      </c>
      <c r="C849" s="35"/>
      <c r="D849" s="30" t="s">
        <v>1451</v>
      </c>
      <c r="E849" s="15" t="s">
        <v>1451</v>
      </c>
    </row>
    <row r="850" spans="1:5" x14ac:dyDescent="0.25">
      <c r="A850" s="36" t="e">
        <f>VLOOKUP($C850,'Variable Information'!$A$2:$E$480,5,FALSE)</f>
        <v>#N/A</v>
      </c>
      <c r="B850" s="36" t="e">
        <f>VLOOKUP($C850,'Variable Information'!$A$1:$C$480,3,FALSE)</f>
        <v>#N/A</v>
      </c>
      <c r="C850" s="35"/>
      <c r="D850" s="30" t="s">
        <v>1456</v>
      </c>
      <c r="E850" s="15" t="s">
        <v>1456</v>
      </c>
    </row>
    <row r="851" spans="1:5" x14ac:dyDescent="0.25">
      <c r="A851" s="36" t="e">
        <f>VLOOKUP($C851,'Variable Information'!$A$2:$E$480,5,FALSE)</f>
        <v>#N/A</v>
      </c>
      <c r="B851" s="36" t="e">
        <f>VLOOKUP($C851,'Variable Information'!$A$1:$C$480,3,FALSE)</f>
        <v>#N/A</v>
      </c>
      <c r="C851" s="35"/>
      <c r="D851" s="30" t="s">
        <v>1458</v>
      </c>
      <c r="E851" s="15" t="s">
        <v>1458</v>
      </c>
    </row>
    <row r="852" spans="1:5" x14ac:dyDescent="0.25">
      <c r="A852" s="36" t="e">
        <f>VLOOKUP($C852,'Variable Information'!$A$2:$E$480,5,FALSE)</f>
        <v>#N/A</v>
      </c>
      <c r="B852" s="36" t="e">
        <f>VLOOKUP($C852,'Variable Information'!$A$1:$C$480,3,FALSE)</f>
        <v>#N/A</v>
      </c>
      <c r="C852" s="35"/>
      <c r="D852" s="30" t="s">
        <v>1460</v>
      </c>
      <c r="E852" s="15" t="s">
        <v>1460</v>
      </c>
    </row>
    <row r="853" spans="1:5" x14ac:dyDescent="0.25">
      <c r="A853" s="36" t="e">
        <f>VLOOKUP($C853,'Variable Information'!$A$2:$E$480,5,FALSE)</f>
        <v>#N/A</v>
      </c>
      <c r="B853" s="36" t="e">
        <f>VLOOKUP($C853,'Variable Information'!$A$1:$C$480,3,FALSE)</f>
        <v>#N/A</v>
      </c>
      <c r="C853" s="35"/>
      <c r="D853" s="30" t="s">
        <v>1462</v>
      </c>
      <c r="E853" s="15" t="s">
        <v>1462</v>
      </c>
    </row>
    <row r="854" spans="1:5" x14ac:dyDescent="0.25">
      <c r="A854" s="36" t="e">
        <f>VLOOKUP($C854,'Variable Information'!$A$2:$E$480,5,FALSE)</f>
        <v>#N/A</v>
      </c>
      <c r="B854" s="36" t="e">
        <f>VLOOKUP($C854,'Variable Information'!$A$1:$C$480,3,FALSE)</f>
        <v>#N/A</v>
      </c>
      <c r="C854" s="35"/>
      <c r="D854" s="30" t="s">
        <v>1471</v>
      </c>
      <c r="E854" s="15" t="s">
        <v>1471</v>
      </c>
    </row>
    <row r="855" spans="1:5" x14ac:dyDescent="0.25">
      <c r="A855" s="36" t="e">
        <f>VLOOKUP($C855,'Variable Information'!$A$2:$E$480,5,FALSE)</f>
        <v>#N/A</v>
      </c>
      <c r="B855" s="36" t="e">
        <f>VLOOKUP($C855,'Variable Information'!$A$1:$C$480,3,FALSE)</f>
        <v>#N/A</v>
      </c>
      <c r="C855" s="35"/>
      <c r="D855" s="30" t="s">
        <v>1473</v>
      </c>
      <c r="E855" s="15" t="s">
        <v>1473</v>
      </c>
    </row>
    <row r="856" spans="1:5" x14ac:dyDescent="0.25">
      <c r="A856" s="36" t="e">
        <f>VLOOKUP($C856,'Variable Information'!$A$2:$E$480,5,FALSE)</f>
        <v>#N/A</v>
      </c>
      <c r="B856" s="36" t="e">
        <f>VLOOKUP($C856,'Variable Information'!$A$1:$C$480,3,FALSE)</f>
        <v>#N/A</v>
      </c>
      <c r="C856" s="35"/>
      <c r="D856" s="30" t="s">
        <v>1475</v>
      </c>
      <c r="E856" s="15" t="s">
        <v>1475</v>
      </c>
    </row>
    <row r="857" spans="1:5" x14ac:dyDescent="0.25">
      <c r="A857" s="36" t="e">
        <f>VLOOKUP($C857,'Variable Information'!$A$2:$E$480,5,FALSE)</f>
        <v>#N/A</v>
      </c>
      <c r="B857" s="36" t="e">
        <f>VLOOKUP($C857,'Variable Information'!$A$1:$C$480,3,FALSE)</f>
        <v>#N/A</v>
      </c>
      <c r="C857" s="35"/>
      <c r="D857" s="30" t="s">
        <v>1477</v>
      </c>
      <c r="E857" s="15" t="s">
        <v>1477</v>
      </c>
    </row>
    <row r="858" spans="1:5" x14ac:dyDescent="0.25">
      <c r="A858" s="36" t="e">
        <f>VLOOKUP($C858,'Variable Information'!$A$2:$E$480,5,FALSE)</f>
        <v>#N/A</v>
      </c>
      <c r="B858" s="36" t="e">
        <f>VLOOKUP($C858,'Variable Information'!$A$1:$C$480,3,FALSE)</f>
        <v>#N/A</v>
      </c>
      <c r="C858" s="35"/>
      <c r="D858" s="30" t="s">
        <v>1503</v>
      </c>
      <c r="E858" s="15" t="s">
        <v>1503</v>
      </c>
    </row>
    <row r="859" spans="1:5" x14ac:dyDescent="0.25">
      <c r="A859" s="36" t="e">
        <f>VLOOKUP($C859,'Variable Information'!$A$2:$E$480,5,FALSE)</f>
        <v>#N/A</v>
      </c>
      <c r="B859" s="36" t="e">
        <f>VLOOKUP($C859,'Variable Information'!$A$1:$C$480,3,FALSE)</f>
        <v>#N/A</v>
      </c>
      <c r="C859" s="35"/>
      <c r="D859" s="30" t="s">
        <v>1524</v>
      </c>
      <c r="E859" s="15" t="s">
        <v>1524</v>
      </c>
    </row>
    <row r="860" spans="1:5" x14ac:dyDescent="0.25">
      <c r="A860" s="36" t="str">
        <f>VLOOKUP($C860,'Variable Information'!$A$2:$E$480,5,FALSE)</f>
        <v>AJP_H1_rank</v>
      </c>
      <c r="B860" s="36" t="str">
        <f>VLOOKUP($C860,'Variable Information'!$A$1:$C$480,3,FALSE)</f>
        <v>Q23_4_8_1. Issue ranking - A road traffic accident in which you were injured caused or made worse by someone else</v>
      </c>
      <c r="C860" s="35" t="s">
        <v>479</v>
      </c>
      <c r="D860" s="30" t="s">
        <v>1447</v>
      </c>
      <c r="E860" s="15" t="s">
        <v>1447</v>
      </c>
    </row>
    <row r="861" spans="1:5" x14ac:dyDescent="0.25">
      <c r="A861" s="36" t="e">
        <f>VLOOKUP($C861,'Variable Information'!$A$2:$E$480,5,FALSE)</f>
        <v>#N/A</v>
      </c>
      <c r="B861" s="36" t="e">
        <f>VLOOKUP($C861,'Variable Information'!$A$1:$C$480,3,FALSE)</f>
        <v>#N/A</v>
      </c>
      <c r="C861" s="35"/>
      <c r="D861" s="30" t="s">
        <v>1449</v>
      </c>
      <c r="E861" s="15" t="s">
        <v>1449</v>
      </c>
    </row>
    <row r="862" spans="1:5" x14ac:dyDescent="0.25">
      <c r="A862" s="36" t="e">
        <f>VLOOKUP($C862,'Variable Information'!$A$2:$E$480,5,FALSE)</f>
        <v>#N/A</v>
      </c>
      <c r="B862" s="36" t="e">
        <f>VLOOKUP($C862,'Variable Information'!$A$1:$C$480,3,FALSE)</f>
        <v>#N/A</v>
      </c>
      <c r="C862" s="35"/>
      <c r="D862" s="30" t="s">
        <v>1451</v>
      </c>
      <c r="E862" s="15" t="s">
        <v>1451</v>
      </c>
    </row>
    <row r="863" spans="1:5" x14ac:dyDescent="0.25">
      <c r="A863" s="36" t="e">
        <f>VLOOKUP($C863,'Variable Information'!$A$2:$E$480,5,FALSE)</f>
        <v>#N/A</v>
      </c>
      <c r="B863" s="36" t="e">
        <f>VLOOKUP($C863,'Variable Information'!$A$1:$C$480,3,FALSE)</f>
        <v>#N/A</v>
      </c>
      <c r="C863" s="35"/>
      <c r="D863" s="30" t="s">
        <v>1456</v>
      </c>
      <c r="E863" s="15" t="s">
        <v>1456</v>
      </c>
    </row>
    <row r="864" spans="1:5" x14ac:dyDescent="0.25">
      <c r="A864" s="36" t="e">
        <f>VLOOKUP($C864,'Variable Information'!$A$2:$E$480,5,FALSE)</f>
        <v>#N/A</v>
      </c>
      <c r="B864" s="36" t="e">
        <f>VLOOKUP($C864,'Variable Information'!$A$1:$C$480,3,FALSE)</f>
        <v>#N/A</v>
      </c>
      <c r="C864" s="35"/>
      <c r="D864" s="30" t="s">
        <v>1458</v>
      </c>
      <c r="E864" s="15" t="s">
        <v>1458</v>
      </c>
    </row>
    <row r="865" spans="1:5" x14ac:dyDescent="0.25">
      <c r="A865" s="36" t="e">
        <f>VLOOKUP($C865,'Variable Information'!$A$2:$E$480,5,FALSE)</f>
        <v>#N/A</v>
      </c>
      <c r="B865" s="36" t="e">
        <f>VLOOKUP($C865,'Variable Information'!$A$1:$C$480,3,FALSE)</f>
        <v>#N/A</v>
      </c>
      <c r="C865" s="35"/>
      <c r="D865" s="30" t="s">
        <v>1460</v>
      </c>
      <c r="E865" s="15" t="s">
        <v>1460</v>
      </c>
    </row>
    <row r="866" spans="1:5" x14ac:dyDescent="0.25">
      <c r="A866" s="36" t="e">
        <f>VLOOKUP($C866,'Variable Information'!$A$2:$E$480,5,FALSE)</f>
        <v>#N/A</v>
      </c>
      <c r="B866" s="36" t="e">
        <f>VLOOKUP($C866,'Variable Information'!$A$1:$C$480,3,FALSE)</f>
        <v>#N/A</v>
      </c>
      <c r="C866" s="35"/>
      <c r="D866" s="30" t="s">
        <v>1462</v>
      </c>
      <c r="E866" s="15" t="s">
        <v>1462</v>
      </c>
    </row>
    <row r="867" spans="1:5" x14ac:dyDescent="0.25">
      <c r="A867" s="36" t="e">
        <f>VLOOKUP($C867,'Variable Information'!$A$2:$E$480,5,FALSE)</f>
        <v>#N/A</v>
      </c>
      <c r="B867" s="36" t="e">
        <f>VLOOKUP($C867,'Variable Information'!$A$1:$C$480,3,FALSE)</f>
        <v>#N/A</v>
      </c>
      <c r="C867" s="35"/>
      <c r="D867" s="30" t="s">
        <v>1471</v>
      </c>
      <c r="E867" s="15" t="s">
        <v>1471</v>
      </c>
    </row>
    <row r="868" spans="1:5" x14ac:dyDescent="0.25">
      <c r="A868" s="36" t="e">
        <f>VLOOKUP($C868,'Variable Information'!$A$2:$E$480,5,FALSE)</f>
        <v>#N/A</v>
      </c>
      <c r="B868" s="36" t="e">
        <f>VLOOKUP($C868,'Variable Information'!$A$1:$C$480,3,FALSE)</f>
        <v>#N/A</v>
      </c>
      <c r="C868" s="35"/>
      <c r="D868" s="30" t="s">
        <v>1473</v>
      </c>
      <c r="E868" s="15" t="s">
        <v>1473</v>
      </c>
    </row>
    <row r="869" spans="1:5" x14ac:dyDescent="0.25">
      <c r="A869" s="36" t="e">
        <f>VLOOKUP($C869,'Variable Information'!$A$2:$E$480,5,FALSE)</f>
        <v>#N/A</v>
      </c>
      <c r="B869" s="36" t="e">
        <f>VLOOKUP($C869,'Variable Information'!$A$1:$C$480,3,FALSE)</f>
        <v>#N/A</v>
      </c>
      <c r="C869" s="35"/>
      <c r="D869" s="30" t="s">
        <v>1475</v>
      </c>
      <c r="E869" s="15" t="s">
        <v>1475</v>
      </c>
    </row>
    <row r="870" spans="1:5" x14ac:dyDescent="0.25">
      <c r="A870" s="36" t="e">
        <f>VLOOKUP($C870,'Variable Information'!$A$2:$E$480,5,FALSE)</f>
        <v>#N/A</v>
      </c>
      <c r="B870" s="36" t="e">
        <f>VLOOKUP($C870,'Variable Information'!$A$1:$C$480,3,FALSE)</f>
        <v>#N/A</v>
      </c>
      <c r="C870" s="35"/>
      <c r="D870" s="30" t="s">
        <v>1477</v>
      </c>
      <c r="E870" s="15" t="s">
        <v>1477</v>
      </c>
    </row>
    <row r="871" spans="1:5" x14ac:dyDescent="0.25">
      <c r="A871" s="36" t="e">
        <f>VLOOKUP($C871,'Variable Information'!$A$2:$E$480,5,FALSE)</f>
        <v>#N/A</v>
      </c>
      <c r="B871" s="36" t="e">
        <f>VLOOKUP($C871,'Variable Information'!$A$1:$C$480,3,FALSE)</f>
        <v>#N/A</v>
      </c>
      <c r="C871" s="35"/>
      <c r="D871" s="30" t="s">
        <v>1503</v>
      </c>
      <c r="E871" s="15" t="s">
        <v>1503</v>
      </c>
    </row>
    <row r="872" spans="1:5" x14ac:dyDescent="0.25">
      <c r="A872" s="36" t="e">
        <f>VLOOKUP($C872,'Variable Information'!$A$2:$E$480,5,FALSE)</f>
        <v>#N/A</v>
      </c>
      <c r="B872" s="36" t="e">
        <f>VLOOKUP($C872,'Variable Information'!$A$1:$C$480,3,FALSE)</f>
        <v>#N/A</v>
      </c>
      <c r="C872" s="35"/>
      <c r="D872" s="30" t="s">
        <v>1524</v>
      </c>
      <c r="E872" s="15" t="s">
        <v>1524</v>
      </c>
    </row>
    <row r="873" spans="1:5" x14ac:dyDescent="0.25">
      <c r="A873" s="36" t="str">
        <f>VLOOKUP($C873,'Variable Information'!$A$2:$E$480,5,FALSE)</f>
        <v>AJP_H2_rank</v>
      </c>
      <c r="B873" s="36" t="str">
        <f>VLOOKUP($C873,'Variable Information'!$A$1:$C$480,3,FALSE)</f>
        <v>Q23_4_8_2. Issue ranking - A road traffic accident in which someone else was injured that you caused or made worse</v>
      </c>
      <c r="C873" s="35" t="s">
        <v>482</v>
      </c>
      <c r="D873" s="30" t="s">
        <v>1447</v>
      </c>
      <c r="E873" s="15" t="s">
        <v>1447</v>
      </c>
    </row>
    <row r="874" spans="1:5" x14ac:dyDescent="0.25">
      <c r="A874" s="36" t="e">
        <f>VLOOKUP($C874,'Variable Information'!$A$2:$E$480,5,FALSE)</f>
        <v>#N/A</v>
      </c>
      <c r="B874" s="36" t="e">
        <f>VLOOKUP($C874,'Variable Information'!$A$1:$C$480,3,FALSE)</f>
        <v>#N/A</v>
      </c>
      <c r="C874" s="35"/>
      <c r="D874" s="30" t="s">
        <v>1449</v>
      </c>
      <c r="E874" s="15" t="s">
        <v>1449</v>
      </c>
    </row>
    <row r="875" spans="1:5" x14ac:dyDescent="0.25">
      <c r="A875" s="36" t="e">
        <f>VLOOKUP($C875,'Variable Information'!$A$2:$E$480,5,FALSE)</f>
        <v>#N/A</v>
      </c>
      <c r="B875" s="36" t="e">
        <f>VLOOKUP($C875,'Variable Information'!$A$1:$C$480,3,FALSE)</f>
        <v>#N/A</v>
      </c>
      <c r="C875" s="35"/>
      <c r="D875" s="30" t="s">
        <v>1451</v>
      </c>
      <c r="E875" s="15" t="s">
        <v>1451</v>
      </c>
    </row>
    <row r="876" spans="1:5" x14ac:dyDescent="0.25">
      <c r="A876" s="36" t="e">
        <f>VLOOKUP($C876,'Variable Information'!$A$2:$E$480,5,FALSE)</f>
        <v>#N/A</v>
      </c>
      <c r="B876" s="36" t="e">
        <f>VLOOKUP($C876,'Variable Information'!$A$1:$C$480,3,FALSE)</f>
        <v>#N/A</v>
      </c>
      <c r="C876" s="35"/>
      <c r="D876" s="30" t="s">
        <v>1456</v>
      </c>
      <c r="E876" s="15" t="s">
        <v>1456</v>
      </c>
    </row>
    <row r="877" spans="1:5" x14ac:dyDescent="0.25">
      <c r="A877" s="36" t="e">
        <f>VLOOKUP($C877,'Variable Information'!$A$2:$E$480,5,FALSE)</f>
        <v>#N/A</v>
      </c>
      <c r="B877" s="36" t="e">
        <f>VLOOKUP($C877,'Variable Information'!$A$1:$C$480,3,FALSE)</f>
        <v>#N/A</v>
      </c>
      <c r="C877" s="35"/>
      <c r="D877" s="30" t="s">
        <v>1458</v>
      </c>
      <c r="E877" s="15" t="s">
        <v>1458</v>
      </c>
    </row>
    <row r="878" spans="1:5" x14ac:dyDescent="0.25">
      <c r="A878" s="36" t="e">
        <f>VLOOKUP($C878,'Variable Information'!$A$2:$E$480,5,FALSE)</f>
        <v>#N/A</v>
      </c>
      <c r="B878" s="36" t="e">
        <f>VLOOKUP($C878,'Variable Information'!$A$1:$C$480,3,FALSE)</f>
        <v>#N/A</v>
      </c>
      <c r="C878" s="35"/>
      <c r="D878" s="30" t="s">
        <v>1460</v>
      </c>
      <c r="E878" s="15" t="s">
        <v>1460</v>
      </c>
    </row>
    <row r="879" spans="1:5" x14ac:dyDescent="0.25">
      <c r="A879" s="36" t="e">
        <f>VLOOKUP($C879,'Variable Information'!$A$2:$E$480,5,FALSE)</f>
        <v>#N/A</v>
      </c>
      <c r="B879" s="36" t="e">
        <f>VLOOKUP($C879,'Variable Information'!$A$1:$C$480,3,FALSE)</f>
        <v>#N/A</v>
      </c>
      <c r="C879" s="35"/>
      <c r="D879" s="30" t="s">
        <v>1462</v>
      </c>
      <c r="E879" s="15" t="s">
        <v>1462</v>
      </c>
    </row>
    <row r="880" spans="1:5" x14ac:dyDescent="0.25">
      <c r="A880" s="36" t="e">
        <f>VLOOKUP($C880,'Variable Information'!$A$2:$E$480,5,FALSE)</f>
        <v>#N/A</v>
      </c>
      <c r="B880" s="36" t="e">
        <f>VLOOKUP($C880,'Variable Information'!$A$1:$C$480,3,FALSE)</f>
        <v>#N/A</v>
      </c>
      <c r="C880" s="35"/>
      <c r="D880" s="30" t="s">
        <v>1471</v>
      </c>
      <c r="E880" s="15" t="s">
        <v>1471</v>
      </c>
    </row>
    <row r="881" spans="1:5" x14ac:dyDescent="0.25">
      <c r="A881" s="36" t="e">
        <f>VLOOKUP($C881,'Variable Information'!$A$2:$E$480,5,FALSE)</f>
        <v>#N/A</v>
      </c>
      <c r="B881" s="36" t="e">
        <f>VLOOKUP($C881,'Variable Information'!$A$1:$C$480,3,FALSE)</f>
        <v>#N/A</v>
      </c>
      <c r="C881" s="35"/>
      <c r="D881" s="30" t="s">
        <v>1473</v>
      </c>
      <c r="E881" s="15" t="s">
        <v>1473</v>
      </c>
    </row>
    <row r="882" spans="1:5" x14ac:dyDescent="0.25">
      <c r="A882" s="36" t="e">
        <f>VLOOKUP($C882,'Variable Information'!$A$2:$E$480,5,FALSE)</f>
        <v>#N/A</v>
      </c>
      <c r="B882" s="36" t="e">
        <f>VLOOKUP($C882,'Variable Information'!$A$1:$C$480,3,FALSE)</f>
        <v>#N/A</v>
      </c>
      <c r="C882" s="35"/>
      <c r="D882" s="30" t="s">
        <v>1475</v>
      </c>
      <c r="E882" s="15" t="s">
        <v>1475</v>
      </c>
    </row>
    <row r="883" spans="1:5" x14ac:dyDescent="0.25">
      <c r="A883" s="36" t="e">
        <f>VLOOKUP($C883,'Variable Information'!$A$2:$E$480,5,FALSE)</f>
        <v>#N/A</v>
      </c>
      <c r="B883" s="36" t="e">
        <f>VLOOKUP($C883,'Variable Information'!$A$1:$C$480,3,FALSE)</f>
        <v>#N/A</v>
      </c>
      <c r="C883" s="35"/>
      <c r="D883" s="30" t="s">
        <v>1477</v>
      </c>
      <c r="E883" s="15" t="s">
        <v>1477</v>
      </c>
    </row>
    <row r="884" spans="1:5" x14ac:dyDescent="0.25">
      <c r="A884" s="36" t="e">
        <f>VLOOKUP($C884,'Variable Information'!$A$2:$E$480,5,FALSE)</f>
        <v>#N/A</v>
      </c>
      <c r="B884" s="36" t="e">
        <f>VLOOKUP($C884,'Variable Information'!$A$1:$C$480,3,FALSE)</f>
        <v>#N/A</v>
      </c>
      <c r="C884" s="35"/>
      <c r="D884" s="30" t="s">
        <v>1503</v>
      </c>
      <c r="E884" s="15" t="s">
        <v>1503</v>
      </c>
    </row>
    <row r="885" spans="1:5" x14ac:dyDescent="0.25">
      <c r="A885" s="36" t="e">
        <f>VLOOKUP($C885,'Variable Information'!$A$2:$E$480,5,FALSE)</f>
        <v>#N/A</v>
      </c>
      <c r="B885" s="36" t="e">
        <f>VLOOKUP($C885,'Variable Information'!$A$1:$C$480,3,FALSE)</f>
        <v>#N/A</v>
      </c>
      <c r="C885" s="35"/>
      <c r="D885" s="30" t="s">
        <v>1524</v>
      </c>
      <c r="E885" s="15" t="s">
        <v>1524</v>
      </c>
    </row>
    <row r="886" spans="1:5" x14ac:dyDescent="0.25">
      <c r="A886" s="36" t="str">
        <f>VLOOKUP($C886,'Variable Information'!$A$2:$E$480,5,FALSE)</f>
        <v>AJP_H3_rank</v>
      </c>
      <c r="B886" s="36" t="str">
        <f>VLOOKUP($C886,'Variable Information'!$A$1:$C$480,3,FALSE)</f>
        <v>Q23_4_8_3. Issue ranking - Work-related accident</v>
      </c>
      <c r="C886" s="35" t="s">
        <v>485</v>
      </c>
      <c r="D886" s="30" t="s">
        <v>1447</v>
      </c>
      <c r="E886" s="15" t="s">
        <v>1447</v>
      </c>
    </row>
    <row r="887" spans="1:5" x14ac:dyDescent="0.25">
      <c r="A887" s="36" t="e">
        <f>VLOOKUP($C887,'Variable Information'!$A$2:$E$480,5,FALSE)</f>
        <v>#N/A</v>
      </c>
      <c r="B887" s="36" t="e">
        <f>VLOOKUP($C887,'Variable Information'!$A$1:$C$480,3,FALSE)</f>
        <v>#N/A</v>
      </c>
      <c r="C887" s="35"/>
      <c r="D887" s="30" t="s">
        <v>1449</v>
      </c>
      <c r="E887" s="15" t="s">
        <v>1449</v>
      </c>
    </row>
    <row r="888" spans="1:5" x14ac:dyDescent="0.25">
      <c r="A888" s="36" t="e">
        <f>VLOOKUP($C888,'Variable Information'!$A$2:$E$480,5,FALSE)</f>
        <v>#N/A</v>
      </c>
      <c r="B888" s="36" t="e">
        <f>VLOOKUP($C888,'Variable Information'!$A$1:$C$480,3,FALSE)</f>
        <v>#N/A</v>
      </c>
      <c r="C888" s="35"/>
      <c r="D888" s="30" t="s">
        <v>1451</v>
      </c>
      <c r="E888" s="15" t="s">
        <v>1451</v>
      </c>
    </row>
    <row r="889" spans="1:5" x14ac:dyDescent="0.25">
      <c r="A889" s="36" t="e">
        <f>VLOOKUP($C889,'Variable Information'!$A$2:$E$480,5,FALSE)</f>
        <v>#N/A</v>
      </c>
      <c r="B889" s="36" t="e">
        <f>VLOOKUP($C889,'Variable Information'!$A$1:$C$480,3,FALSE)</f>
        <v>#N/A</v>
      </c>
      <c r="C889" s="35"/>
      <c r="D889" s="30" t="s">
        <v>1456</v>
      </c>
      <c r="E889" s="15" t="s">
        <v>1456</v>
      </c>
    </row>
    <row r="890" spans="1:5" x14ac:dyDescent="0.25">
      <c r="A890" s="36" t="e">
        <f>VLOOKUP($C890,'Variable Information'!$A$2:$E$480,5,FALSE)</f>
        <v>#N/A</v>
      </c>
      <c r="B890" s="36" t="e">
        <f>VLOOKUP($C890,'Variable Information'!$A$1:$C$480,3,FALSE)</f>
        <v>#N/A</v>
      </c>
      <c r="C890" s="35"/>
      <c r="D890" s="30" t="s">
        <v>1458</v>
      </c>
      <c r="E890" s="15" t="s">
        <v>1458</v>
      </c>
    </row>
    <row r="891" spans="1:5" x14ac:dyDescent="0.25">
      <c r="A891" s="36" t="e">
        <f>VLOOKUP($C891,'Variable Information'!$A$2:$E$480,5,FALSE)</f>
        <v>#N/A</v>
      </c>
      <c r="B891" s="36" t="e">
        <f>VLOOKUP($C891,'Variable Information'!$A$1:$C$480,3,FALSE)</f>
        <v>#N/A</v>
      </c>
      <c r="C891" s="35"/>
      <c r="D891" s="30" t="s">
        <v>1460</v>
      </c>
      <c r="E891" s="15" t="s">
        <v>1460</v>
      </c>
    </row>
    <row r="892" spans="1:5" x14ac:dyDescent="0.25">
      <c r="A892" s="36" t="e">
        <f>VLOOKUP($C892,'Variable Information'!$A$2:$E$480,5,FALSE)</f>
        <v>#N/A</v>
      </c>
      <c r="B892" s="36" t="e">
        <f>VLOOKUP($C892,'Variable Information'!$A$1:$C$480,3,FALSE)</f>
        <v>#N/A</v>
      </c>
      <c r="C892" s="35"/>
      <c r="D892" s="30" t="s">
        <v>1462</v>
      </c>
      <c r="E892" s="15" t="s">
        <v>1462</v>
      </c>
    </row>
    <row r="893" spans="1:5" x14ac:dyDescent="0.25">
      <c r="A893" s="36" t="e">
        <f>VLOOKUP($C893,'Variable Information'!$A$2:$E$480,5,FALSE)</f>
        <v>#N/A</v>
      </c>
      <c r="B893" s="36" t="e">
        <f>VLOOKUP($C893,'Variable Information'!$A$1:$C$480,3,FALSE)</f>
        <v>#N/A</v>
      </c>
      <c r="C893" s="35"/>
      <c r="D893" s="30" t="s">
        <v>1471</v>
      </c>
      <c r="E893" s="15" t="s">
        <v>1471</v>
      </c>
    </row>
    <row r="894" spans="1:5" x14ac:dyDescent="0.25">
      <c r="A894" s="36" t="e">
        <f>VLOOKUP($C894,'Variable Information'!$A$2:$E$480,5,FALSE)</f>
        <v>#N/A</v>
      </c>
      <c r="B894" s="36" t="e">
        <f>VLOOKUP($C894,'Variable Information'!$A$1:$C$480,3,FALSE)</f>
        <v>#N/A</v>
      </c>
      <c r="C894" s="35"/>
      <c r="D894" s="30" t="s">
        <v>1473</v>
      </c>
      <c r="E894" s="15" t="s">
        <v>1473</v>
      </c>
    </row>
    <row r="895" spans="1:5" x14ac:dyDescent="0.25">
      <c r="A895" s="36" t="e">
        <f>VLOOKUP($C895,'Variable Information'!$A$2:$E$480,5,FALSE)</f>
        <v>#N/A</v>
      </c>
      <c r="B895" s="36" t="e">
        <f>VLOOKUP($C895,'Variable Information'!$A$1:$C$480,3,FALSE)</f>
        <v>#N/A</v>
      </c>
      <c r="C895" s="35"/>
      <c r="D895" s="30" t="s">
        <v>1475</v>
      </c>
      <c r="E895" s="15" t="s">
        <v>1475</v>
      </c>
    </row>
    <row r="896" spans="1:5" x14ac:dyDescent="0.25">
      <c r="A896" s="36" t="e">
        <f>VLOOKUP($C896,'Variable Information'!$A$2:$E$480,5,FALSE)</f>
        <v>#N/A</v>
      </c>
      <c r="B896" s="36" t="e">
        <f>VLOOKUP($C896,'Variable Information'!$A$1:$C$480,3,FALSE)</f>
        <v>#N/A</v>
      </c>
      <c r="C896" s="35"/>
      <c r="D896" s="30" t="s">
        <v>1477</v>
      </c>
      <c r="E896" s="15" t="s">
        <v>1477</v>
      </c>
    </row>
    <row r="897" spans="1:5" x14ac:dyDescent="0.25">
      <c r="A897" s="36" t="e">
        <f>VLOOKUP($C897,'Variable Information'!$A$2:$E$480,5,FALSE)</f>
        <v>#N/A</v>
      </c>
      <c r="B897" s="36" t="e">
        <f>VLOOKUP($C897,'Variable Information'!$A$1:$C$480,3,FALSE)</f>
        <v>#N/A</v>
      </c>
      <c r="C897" s="35"/>
      <c r="D897" s="30" t="s">
        <v>1503</v>
      </c>
      <c r="E897" s="15" t="s">
        <v>1503</v>
      </c>
    </row>
    <row r="898" spans="1:5" x14ac:dyDescent="0.25">
      <c r="A898" s="36" t="e">
        <f>VLOOKUP($C898,'Variable Information'!$A$2:$E$480,5,FALSE)</f>
        <v>#N/A</v>
      </c>
      <c r="B898" s="36" t="e">
        <f>VLOOKUP($C898,'Variable Information'!$A$1:$C$480,3,FALSE)</f>
        <v>#N/A</v>
      </c>
      <c r="C898" s="35"/>
      <c r="D898" s="30" t="s">
        <v>1524</v>
      </c>
      <c r="E898" s="15" t="s">
        <v>1524</v>
      </c>
    </row>
    <row r="899" spans="1:5" x14ac:dyDescent="0.25">
      <c r="A899" s="36" t="str">
        <f>VLOOKUP($C899,'Variable Information'!$A$2:$E$480,5,FALSE)</f>
        <v>AJP_H4_rank</v>
      </c>
      <c r="B899" s="36" t="str">
        <f>VLOOKUP($C899,'Variable Information'!$A$1:$C$480,3,FALSE)</f>
        <v>Q23_4_8_4. Issue ranking - Wrong or negligent medical treatment</v>
      </c>
      <c r="C899" s="35" t="s">
        <v>488</v>
      </c>
      <c r="D899" s="30" t="s">
        <v>1447</v>
      </c>
      <c r="E899" s="15" t="s">
        <v>1447</v>
      </c>
    </row>
    <row r="900" spans="1:5" x14ac:dyDescent="0.25">
      <c r="A900" s="36" t="e">
        <f>VLOOKUP($C900,'Variable Information'!$A$2:$E$480,5,FALSE)</f>
        <v>#N/A</v>
      </c>
      <c r="B900" s="36" t="e">
        <f>VLOOKUP($C900,'Variable Information'!$A$1:$C$480,3,FALSE)</f>
        <v>#N/A</v>
      </c>
      <c r="C900" s="35"/>
      <c r="D900" s="30" t="s">
        <v>1449</v>
      </c>
      <c r="E900" s="15" t="s">
        <v>1449</v>
      </c>
    </row>
    <row r="901" spans="1:5" x14ac:dyDescent="0.25">
      <c r="A901" s="36" t="e">
        <f>VLOOKUP($C901,'Variable Information'!$A$2:$E$480,5,FALSE)</f>
        <v>#N/A</v>
      </c>
      <c r="B901" s="36" t="e">
        <f>VLOOKUP($C901,'Variable Information'!$A$1:$C$480,3,FALSE)</f>
        <v>#N/A</v>
      </c>
      <c r="C901" s="35"/>
      <c r="D901" s="30" t="s">
        <v>1451</v>
      </c>
      <c r="E901" s="15" t="s">
        <v>1451</v>
      </c>
    </row>
    <row r="902" spans="1:5" x14ac:dyDescent="0.25">
      <c r="A902" s="36" t="e">
        <f>VLOOKUP($C902,'Variable Information'!$A$2:$E$480,5,FALSE)</f>
        <v>#N/A</v>
      </c>
      <c r="B902" s="36" t="e">
        <f>VLOOKUP($C902,'Variable Information'!$A$1:$C$480,3,FALSE)</f>
        <v>#N/A</v>
      </c>
      <c r="C902" s="35"/>
      <c r="D902" s="30" t="s">
        <v>1456</v>
      </c>
      <c r="E902" s="15" t="s">
        <v>1456</v>
      </c>
    </row>
    <row r="903" spans="1:5" x14ac:dyDescent="0.25">
      <c r="A903" s="36" t="e">
        <f>VLOOKUP($C903,'Variable Information'!$A$2:$E$480,5,FALSE)</f>
        <v>#N/A</v>
      </c>
      <c r="B903" s="36" t="e">
        <f>VLOOKUP($C903,'Variable Information'!$A$1:$C$480,3,FALSE)</f>
        <v>#N/A</v>
      </c>
      <c r="C903" s="35"/>
      <c r="D903" s="30" t="s">
        <v>1458</v>
      </c>
      <c r="E903" s="15" t="s">
        <v>1458</v>
      </c>
    </row>
    <row r="904" spans="1:5" x14ac:dyDescent="0.25">
      <c r="A904" s="36" t="e">
        <f>VLOOKUP($C904,'Variable Information'!$A$2:$E$480,5,FALSE)</f>
        <v>#N/A</v>
      </c>
      <c r="B904" s="36" t="e">
        <f>VLOOKUP($C904,'Variable Information'!$A$1:$C$480,3,FALSE)</f>
        <v>#N/A</v>
      </c>
      <c r="C904" s="35"/>
      <c r="D904" s="30" t="s">
        <v>1460</v>
      </c>
      <c r="E904" s="15" t="s">
        <v>1460</v>
      </c>
    </row>
    <row r="905" spans="1:5" x14ac:dyDescent="0.25">
      <c r="A905" s="36" t="e">
        <f>VLOOKUP($C905,'Variable Information'!$A$2:$E$480,5,FALSE)</f>
        <v>#N/A</v>
      </c>
      <c r="B905" s="36" t="e">
        <f>VLOOKUP($C905,'Variable Information'!$A$1:$C$480,3,FALSE)</f>
        <v>#N/A</v>
      </c>
      <c r="C905" s="35"/>
      <c r="D905" s="30" t="s">
        <v>1462</v>
      </c>
      <c r="E905" s="15" t="s">
        <v>1462</v>
      </c>
    </row>
    <row r="906" spans="1:5" x14ac:dyDescent="0.25">
      <c r="A906" s="36" t="e">
        <f>VLOOKUP($C906,'Variable Information'!$A$2:$E$480,5,FALSE)</f>
        <v>#N/A</v>
      </c>
      <c r="B906" s="36" t="e">
        <f>VLOOKUP($C906,'Variable Information'!$A$1:$C$480,3,FALSE)</f>
        <v>#N/A</v>
      </c>
      <c r="C906" s="35"/>
      <c r="D906" s="30" t="s">
        <v>1471</v>
      </c>
      <c r="E906" s="15" t="s">
        <v>1471</v>
      </c>
    </row>
    <row r="907" spans="1:5" x14ac:dyDescent="0.25">
      <c r="A907" s="36" t="e">
        <f>VLOOKUP($C907,'Variable Information'!$A$2:$E$480,5,FALSE)</f>
        <v>#N/A</v>
      </c>
      <c r="B907" s="36" t="e">
        <f>VLOOKUP($C907,'Variable Information'!$A$1:$C$480,3,FALSE)</f>
        <v>#N/A</v>
      </c>
      <c r="C907" s="35"/>
      <c r="D907" s="30" t="s">
        <v>1473</v>
      </c>
      <c r="E907" s="15" t="s">
        <v>1473</v>
      </c>
    </row>
    <row r="908" spans="1:5" x14ac:dyDescent="0.25">
      <c r="A908" s="36" t="e">
        <f>VLOOKUP($C908,'Variable Information'!$A$2:$E$480,5,FALSE)</f>
        <v>#N/A</v>
      </c>
      <c r="B908" s="36" t="e">
        <f>VLOOKUP($C908,'Variable Information'!$A$1:$C$480,3,FALSE)</f>
        <v>#N/A</v>
      </c>
      <c r="C908" s="35"/>
      <c r="D908" s="30" t="s">
        <v>1475</v>
      </c>
      <c r="E908" s="15" t="s">
        <v>1475</v>
      </c>
    </row>
    <row r="909" spans="1:5" x14ac:dyDescent="0.25">
      <c r="A909" s="36" t="e">
        <f>VLOOKUP($C909,'Variable Information'!$A$2:$E$480,5,FALSE)</f>
        <v>#N/A</v>
      </c>
      <c r="B909" s="36" t="e">
        <f>VLOOKUP($C909,'Variable Information'!$A$1:$C$480,3,FALSE)</f>
        <v>#N/A</v>
      </c>
      <c r="C909" s="35"/>
      <c r="D909" s="30" t="s">
        <v>1477</v>
      </c>
      <c r="E909" s="15" t="s">
        <v>1477</v>
      </c>
    </row>
    <row r="910" spans="1:5" x14ac:dyDescent="0.25">
      <c r="A910" s="36" t="e">
        <f>VLOOKUP($C910,'Variable Information'!$A$2:$E$480,5,FALSE)</f>
        <v>#N/A</v>
      </c>
      <c r="B910" s="36" t="e">
        <f>VLOOKUP($C910,'Variable Information'!$A$1:$C$480,3,FALSE)</f>
        <v>#N/A</v>
      </c>
      <c r="C910" s="35"/>
      <c r="D910" s="30" t="s">
        <v>1503</v>
      </c>
      <c r="E910" s="15" t="s">
        <v>1503</v>
      </c>
    </row>
    <row r="911" spans="1:5" x14ac:dyDescent="0.25">
      <c r="A911" s="36" t="e">
        <f>VLOOKUP($C911,'Variable Information'!$A$2:$E$480,5,FALSE)</f>
        <v>#N/A</v>
      </c>
      <c r="B911" s="36" t="e">
        <f>VLOOKUP($C911,'Variable Information'!$A$1:$C$480,3,FALSE)</f>
        <v>#N/A</v>
      </c>
      <c r="C911" s="35"/>
      <c r="D911" s="30" t="s">
        <v>1524</v>
      </c>
      <c r="E911" s="15" t="s">
        <v>1524</v>
      </c>
    </row>
    <row r="912" spans="1:5" x14ac:dyDescent="0.25">
      <c r="A912" s="36" t="str">
        <f>VLOOKUP($C912,'Variable Information'!$A$2:$E$480,5,FALSE)</f>
        <v>AJP_H5_rank</v>
      </c>
      <c r="B912" s="36" t="str">
        <f>VLOOKUP($C912,'Variable Information'!$A$1:$C$480,3,FALSE)</f>
        <v>Q23_4_8_5. Issue ranking - Other injury or illness caused or worsened by someone else</v>
      </c>
      <c r="C912" s="35" t="s">
        <v>491</v>
      </c>
      <c r="D912" s="30" t="s">
        <v>1447</v>
      </c>
      <c r="E912" s="15" t="s">
        <v>1447</v>
      </c>
    </row>
    <row r="913" spans="1:5" x14ac:dyDescent="0.25">
      <c r="A913" s="36" t="e">
        <f>VLOOKUP($C913,'Variable Information'!$A$2:$E$480,5,FALSE)</f>
        <v>#N/A</v>
      </c>
      <c r="B913" s="36" t="e">
        <f>VLOOKUP($C913,'Variable Information'!$A$1:$C$480,3,FALSE)</f>
        <v>#N/A</v>
      </c>
      <c r="C913" s="35"/>
      <c r="D913" s="30" t="s">
        <v>1449</v>
      </c>
      <c r="E913" s="15" t="s">
        <v>1449</v>
      </c>
    </row>
    <row r="914" spans="1:5" x14ac:dyDescent="0.25">
      <c r="A914" s="36" t="e">
        <f>VLOOKUP($C914,'Variable Information'!$A$2:$E$480,5,FALSE)</f>
        <v>#N/A</v>
      </c>
      <c r="B914" s="36" t="e">
        <f>VLOOKUP($C914,'Variable Information'!$A$1:$C$480,3,FALSE)</f>
        <v>#N/A</v>
      </c>
      <c r="C914" s="35"/>
      <c r="D914" s="30" t="s">
        <v>1451</v>
      </c>
      <c r="E914" s="15" t="s">
        <v>1451</v>
      </c>
    </row>
    <row r="915" spans="1:5" x14ac:dyDescent="0.25">
      <c r="A915" s="36" t="e">
        <f>VLOOKUP($C915,'Variable Information'!$A$2:$E$480,5,FALSE)</f>
        <v>#N/A</v>
      </c>
      <c r="B915" s="36" t="e">
        <f>VLOOKUP($C915,'Variable Information'!$A$1:$C$480,3,FALSE)</f>
        <v>#N/A</v>
      </c>
      <c r="C915" s="35"/>
      <c r="D915" s="30" t="s">
        <v>1456</v>
      </c>
      <c r="E915" s="15" t="s">
        <v>1456</v>
      </c>
    </row>
    <row r="916" spans="1:5" x14ac:dyDescent="0.25">
      <c r="A916" s="36" t="e">
        <f>VLOOKUP($C916,'Variable Information'!$A$2:$E$480,5,FALSE)</f>
        <v>#N/A</v>
      </c>
      <c r="B916" s="36" t="e">
        <f>VLOOKUP($C916,'Variable Information'!$A$1:$C$480,3,FALSE)</f>
        <v>#N/A</v>
      </c>
      <c r="C916" s="35"/>
      <c r="D916" s="30" t="s">
        <v>1458</v>
      </c>
      <c r="E916" s="15" t="s">
        <v>1458</v>
      </c>
    </row>
    <row r="917" spans="1:5" x14ac:dyDescent="0.25">
      <c r="A917" s="36" t="e">
        <f>VLOOKUP($C917,'Variable Information'!$A$2:$E$480,5,FALSE)</f>
        <v>#N/A</v>
      </c>
      <c r="B917" s="36" t="e">
        <f>VLOOKUP($C917,'Variable Information'!$A$1:$C$480,3,FALSE)</f>
        <v>#N/A</v>
      </c>
      <c r="C917" s="35"/>
      <c r="D917" s="30" t="s">
        <v>1460</v>
      </c>
      <c r="E917" s="15" t="s">
        <v>1460</v>
      </c>
    </row>
    <row r="918" spans="1:5" x14ac:dyDescent="0.25">
      <c r="A918" s="36" t="e">
        <f>VLOOKUP($C918,'Variable Information'!$A$2:$E$480,5,FALSE)</f>
        <v>#N/A</v>
      </c>
      <c r="B918" s="36" t="e">
        <f>VLOOKUP($C918,'Variable Information'!$A$1:$C$480,3,FALSE)</f>
        <v>#N/A</v>
      </c>
      <c r="C918" s="35"/>
      <c r="D918" s="30" t="s">
        <v>1462</v>
      </c>
      <c r="E918" s="15" t="s">
        <v>1462</v>
      </c>
    </row>
    <row r="919" spans="1:5" x14ac:dyDescent="0.25">
      <c r="A919" s="36" t="e">
        <f>VLOOKUP($C919,'Variable Information'!$A$2:$E$480,5,FALSE)</f>
        <v>#N/A</v>
      </c>
      <c r="B919" s="36" t="e">
        <f>VLOOKUP($C919,'Variable Information'!$A$1:$C$480,3,FALSE)</f>
        <v>#N/A</v>
      </c>
      <c r="C919" s="35"/>
      <c r="D919" s="30" t="s">
        <v>1471</v>
      </c>
      <c r="E919" s="15" t="s">
        <v>1471</v>
      </c>
    </row>
    <row r="920" spans="1:5" x14ac:dyDescent="0.25">
      <c r="A920" s="36" t="e">
        <f>VLOOKUP($C920,'Variable Information'!$A$2:$E$480,5,FALSE)</f>
        <v>#N/A</v>
      </c>
      <c r="B920" s="36" t="e">
        <f>VLOOKUP($C920,'Variable Information'!$A$1:$C$480,3,FALSE)</f>
        <v>#N/A</v>
      </c>
      <c r="C920" s="35"/>
      <c r="D920" s="30" t="s">
        <v>1473</v>
      </c>
      <c r="E920" s="15" t="s">
        <v>1473</v>
      </c>
    </row>
    <row r="921" spans="1:5" x14ac:dyDescent="0.25">
      <c r="A921" s="36" t="e">
        <f>VLOOKUP($C921,'Variable Information'!$A$2:$E$480,5,FALSE)</f>
        <v>#N/A</v>
      </c>
      <c r="B921" s="36" t="e">
        <f>VLOOKUP($C921,'Variable Information'!$A$1:$C$480,3,FALSE)</f>
        <v>#N/A</v>
      </c>
      <c r="C921" s="35"/>
      <c r="D921" s="30" t="s">
        <v>1475</v>
      </c>
      <c r="E921" s="15" t="s">
        <v>1475</v>
      </c>
    </row>
    <row r="922" spans="1:5" x14ac:dyDescent="0.25">
      <c r="A922" s="36" t="e">
        <f>VLOOKUP($C922,'Variable Information'!$A$2:$E$480,5,FALSE)</f>
        <v>#N/A</v>
      </c>
      <c r="B922" s="36" t="e">
        <f>VLOOKUP($C922,'Variable Information'!$A$1:$C$480,3,FALSE)</f>
        <v>#N/A</v>
      </c>
      <c r="C922" s="35"/>
      <c r="D922" s="30" t="s">
        <v>1477</v>
      </c>
      <c r="E922" s="15" t="s">
        <v>1477</v>
      </c>
    </row>
    <row r="923" spans="1:5" x14ac:dyDescent="0.25">
      <c r="A923" s="36" t="e">
        <f>VLOOKUP($C923,'Variable Information'!$A$2:$E$480,5,FALSE)</f>
        <v>#N/A</v>
      </c>
      <c r="B923" s="36" t="e">
        <f>VLOOKUP($C923,'Variable Information'!$A$1:$C$480,3,FALSE)</f>
        <v>#N/A</v>
      </c>
      <c r="C923" s="35"/>
      <c r="D923" s="30" t="s">
        <v>1503</v>
      </c>
      <c r="E923" s="15" t="s">
        <v>1503</v>
      </c>
    </row>
    <row r="924" spans="1:5" x14ac:dyDescent="0.25">
      <c r="A924" s="36" t="e">
        <f>VLOOKUP($C924,'Variable Information'!$A$2:$E$480,5,FALSE)</f>
        <v>#N/A</v>
      </c>
      <c r="B924" s="36" t="e">
        <f>VLOOKUP($C924,'Variable Information'!$A$1:$C$480,3,FALSE)</f>
        <v>#N/A</v>
      </c>
      <c r="C924" s="35"/>
      <c r="D924" s="30" t="s">
        <v>1524</v>
      </c>
      <c r="E924" s="15" t="s">
        <v>1524</v>
      </c>
    </row>
    <row r="925" spans="1:5" x14ac:dyDescent="0.25">
      <c r="A925" s="36" t="str">
        <f>VLOOKUP($C925,'Variable Information'!$A$2:$E$480,5,FALSE)</f>
        <v>AJP_I1_rank</v>
      </c>
      <c r="B925" s="36" t="str">
        <f>VLOOKUP($C925,'Variable Information'!$A$1:$C$480,3,FALSE)</f>
        <v>Q23_4_9_1. Issue ranking - Issues with jobseekers benefit or jobseekers allowance</v>
      </c>
      <c r="C925" s="35" t="s">
        <v>494</v>
      </c>
      <c r="D925" s="30" t="s">
        <v>1447</v>
      </c>
      <c r="E925" s="15" t="s">
        <v>1447</v>
      </c>
    </row>
    <row r="926" spans="1:5" x14ac:dyDescent="0.25">
      <c r="A926" s="36" t="e">
        <f>VLOOKUP($C926,'Variable Information'!$A$2:$E$480,5,FALSE)</f>
        <v>#N/A</v>
      </c>
      <c r="B926" s="36" t="e">
        <f>VLOOKUP($C926,'Variable Information'!$A$1:$C$480,3,FALSE)</f>
        <v>#N/A</v>
      </c>
      <c r="C926" s="35"/>
      <c r="D926" s="30" t="s">
        <v>1449</v>
      </c>
      <c r="E926" s="15" t="s">
        <v>1449</v>
      </c>
    </row>
    <row r="927" spans="1:5" x14ac:dyDescent="0.25">
      <c r="A927" s="36" t="e">
        <f>VLOOKUP($C927,'Variable Information'!$A$2:$E$480,5,FALSE)</f>
        <v>#N/A</v>
      </c>
      <c r="B927" s="36" t="e">
        <f>VLOOKUP($C927,'Variable Information'!$A$1:$C$480,3,FALSE)</f>
        <v>#N/A</v>
      </c>
      <c r="C927" s="35"/>
      <c r="D927" s="30" t="s">
        <v>1451</v>
      </c>
      <c r="E927" s="15" t="s">
        <v>1451</v>
      </c>
    </row>
    <row r="928" spans="1:5" x14ac:dyDescent="0.25">
      <c r="A928" s="36" t="e">
        <f>VLOOKUP($C928,'Variable Information'!$A$2:$E$480,5,FALSE)</f>
        <v>#N/A</v>
      </c>
      <c r="B928" s="36" t="e">
        <f>VLOOKUP($C928,'Variable Information'!$A$1:$C$480,3,FALSE)</f>
        <v>#N/A</v>
      </c>
      <c r="C928" s="35"/>
      <c r="D928" s="30" t="s">
        <v>1456</v>
      </c>
      <c r="E928" s="15" t="s">
        <v>1456</v>
      </c>
    </row>
    <row r="929" spans="1:5" x14ac:dyDescent="0.25">
      <c r="A929" s="36" t="e">
        <f>VLOOKUP($C929,'Variable Information'!$A$2:$E$480,5,FALSE)</f>
        <v>#N/A</v>
      </c>
      <c r="B929" s="36" t="e">
        <f>VLOOKUP($C929,'Variable Information'!$A$1:$C$480,3,FALSE)</f>
        <v>#N/A</v>
      </c>
      <c r="C929" s="35"/>
      <c r="D929" s="30" t="s">
        <v>1458</v>
      </c>
      <c r="E929" s="15" t="s">
        <v>1458</v>
      </c>
    </row>
    <row r="930" spans="1:5" x14ac:dyDescent="0.25">
      <c r="A930" s="36" t="e">
        <f>VLOOKUP($C930,'Variable Information'!$A$2:$E$480,5,FALSE)</f>
        <v>#N/A</v>
      </c>
      <c r="B930" s="36" t="e">
        <f>VLOOKUP($C930,'Variable Information'!$A$1:$C$480,3,FALSE)</f>
        <v>#N/A</v>
      </c>
      <c r="C930" s="35"/>
      <c r="D930" s="30" t="s">
        <v>1460</v>
      </c>
      <c r="E930" s="15" t="s">
        <v>1460</v>
      </c>
    </row>
    <row r="931" spans="1:5" x14ac:dyDescent="0.25">
      <c r="A931" s="36" t="e">
        <f>VLOOKUP($C931,'Variable Information'!$A$2:$E$480,5,FALSE)</f>
        <v>#N/A</v>
      </c>
      <c r="B931" s="36" t="e">
        <f>VLOOKUP($C931,'Variable Information'!$A$1:$C$480,3,FALSE)</f>
        <v>#N/A</v>
      </c>
      <c r="C931" s="35"/>
      <c r="D931" s="30" t="s">
        <v>1462</v>
      </c>
      <c r="E931" s="15" t="s">
        <v>1462</v>
      </c>
    </row>
    <row r="932" spans="1:5" x14ac:dyDescent="0.25">
      <c r="A932" s="36" t="e">
        <f>VLOOKUP($C932,'Variable Information'!$A$2:$E$480,5,FALSE)</f>
        <v>#N/A</v>
      </c>
      <c r="B932" s="36" t="e">
        <f>VLOOKUP($C932,'Variable Information'!$A$1:$C$480,3,FALSE)</f>
        <v>#N/A</v>
      </c>
      <c r="C932" s="35"/>
      <c r="D932" s="30" t="s">
        <v>1471</v>
      </c>
      <c r="E932" s="15" t="s">
        <v>1471</v>
      </c>
    </row>
    <row r="933" spans="1:5" x14ac:dyDescent="0.25">
      <c r="A933" s="36" t="e">
        <f>VLOOKUP($C933,'Variable Information'!$A$2:$E$480,5,FALSE)</f>
        <v>#N/A</v>
      </c>
      <c r="B933" s="36" t="e">
        <f>VLOOKUP($C933,'Variable Information'!$A$1:$C$480,3,FALSE)</f>
        <v>#N/A</v>
      </c>
      <c r="C933" s="35"/>
      <c r="D933" s="30" t="s">
        <v>1473</v>
      </c>
      <c r="E933" s="15" t="s">
        <v>1473</v>
      </c>
    </row>
    <row r="934" spans="1:5" x14ac:dyDescent="0.25">
      <c r="A934" s="36" t="e">
        <f>VLOOKUP($C934,'Variable Information'!$A$2:$E$480,5,FALSE)</f>
        <v>#N/A</v>
      </c>
      <c r="B934" s="36" t="e">
        <f>VLOOKUP($C934,'Variable Information'!$A$1:$C$480,3,FALSE)</f>
        <v>#N/A</v>
      </c>
      <c r="C934" s="35"/>
      <c r="D934" s="30" t="s">
        <v>1475</v>
      </c>
      <c r="E934" s="15" t="s">
        <v>1475</v>
      </c>
    </row>
    <row r="935" spans="1:5" x14ac:dyDescent="0.25">
      <c r="A935" s="36" t="e">
        <f>VLOOKUP($C935,'Variable Information'!$A$2:$E$480,5,FALSE)</f>
        <v>#N/A</v>
      </c>
      <c r="B935" s="36" t="e">
        <f>VLOOKUP($C935,'Variable Information'!$A$1:$C$480,3,FALSE)</f>
        <v>#N/A</v>
      </c>
      <c r="C935" s="35"/>
      <c r="D935" s="30" t="s">
        <v>1477</v>
      </c>
      <c r="E935" s="15" t="s">
        <v>1477</v>
      </c>
    </row>
    <row r="936" spans="1:5" x14ac:dyDescent="0.25">
      <c r="A936" s="36" t="e">
        <f>VLOOKUP($C936,'Variable Information'!$A$2:$E$480,5,FALSE)</f>
        <v>#N/A</v>
      </c>
      <c r="B936" s="36" t="e">
        <f>VLOOKUP($C936,'Variable Information'!$A$1:$C$480,3,FALSE)</f>
        <v>#N/A</v>
      </c>
      <c r="C936" s="35"/>
      <c r="D936" s="30" t="s">
        <v>1503</v>
      </c>
      <c r="E936" s="15" t="s">
        <v>1503</v>
      </c>
    </row>
    <row r="937" spans="1:5" x14ac:dyDescent="0.25">
      <c r="A937" s="36" t="e">
        <f>VLOOKUP($C937,'Variable Information'!$A$2:$E$480,5,FALSE)</f>
        <v>#N/A</v>
      </c>
      <c r="B937" s="36" t="e">
        <f>VLOOKUP($C937,'Variable Information'!$A$1:$C$480,3,FALSE)</f>
        <v>#N/A</v>
      </c>
      <c r="C937" s="35"/>
      <c r="D937" s="30" t="s">
        <v>1524</v>
      </c>
      <c r="E937" s="15" t="s">
        <v>1524</v>
      </c>
    </row>
    <row r="938" spans="1:5" x14ac:dyDescent="0.25">
      <c r="A938" s="36" t="str">
        <f>VLOOKUP($C938,'Variable Information'!$A$2:$E$480,5,FALSE)</f>
        <v>AJP_I2_rank</v>
      </c>
      <c r="B938" s="36" t="str">
        <f>VLOOKUP($C938,'Variable Information'!$A$1:$C$480,3,FALSE)</f>
        <v>Q23_4_9_2. Issue ranking - Issues related to maternity/parental government benefit</v>
      </c>
      <c r="C938" s="35" t="s">
        <v>497</v>
      </c>
      <c r="D938" s="30" t="s">
        <v>1447</v>
      </c>
      <c r="E938" s="15" t="s">
        <v>1447</v>
      </c>
    </row>
    <row r="939" spans="1:5" x14ac:dyDescent="0.25">
      <c r="A939" s="36" t="e">
        <f>VLOOKUP($C939,'Variable Information'!$A$2:$E$480,5,FALSE)</f>
        <v>#N/A</v>
      </c>
      <c r="B939" s="36" t="e">
        <f>VLOOKUP($C939,'Variable Information'!$A$1:$C$480,3,FALSE)</f>
        <v>#N/A</v>
      </c>
      <c r="C939" s="35"/>
      <c r="D939" s="30" t="s">
        <v>1449</v>
      </c>
      <c r="E939" s="15" t="s">
        <v>1449</v>
      </c>
    </row>
    <row r="940" spans="1:5" x14ac:dyDescent="0.25">
      <c r="A940" s="36" t="e">
        <f>VLOOKUP($C940,'Variable Information'!$A$2:$E$480,5,FALSE)</f>
        <v>#N/A</v>
      </c>
      <c r="B940" s="36" t="e">
        <f>VLOOKUP($C940,'Variable Information'!$A$1:$C$480,3,FALSE)</f>
        <v>#N/A</v>
      </c>
      <c r="C940" s="35"/>
      <c r="D940" s="30" t="s">
        <v>1451</v>
      </c>
      <c r="E940" s="15" t="s">
        <v>1451</v>
      </c>
    </row>
    <row r="941" spans="1:5" x14ac:dyDescent="0.25">
      <c r="A941" s="36" t="e">
        <f>VLOOKUP($C941,'Variable Information'!$A$2:$E$480,5,FALSE)</f>
        <v>#N/A</v>
      </c>
      <c r="B941" s="36" t="e">
        <f>VLOOKUP($C941,'Variable Information'!$A$1:$C$480,3,FALSE)</f>
        <v>#N/A</v>
      </c>
      <c r="C941" s="35"/>
      <c r="D941" s="30" t="s">
        <v>1456</v>
      </c>
      <c r="E941" s="15" t="s">
        <v>1456</v>
      </c>
    </row>
    <row r="942" spans="1:5" x14ac:dyDescent="0.25">
      <c r="A942" s="36" t="e">
        <f>VLOOKUP($C942,'Variable Information'!$A$2:$E$480,5,FALSE)</f>
        <v>#N/A</v>
      </c>
      <c r="B942" s="36" t="e">
        <f>VLOOKUP($C942,'Variable Information'!$A$1:$C$480,3,FALSE)</f>
        <v>#N/A</v>
      </c>
      <c r="C942" s="35"/>
      <c r="D942" s="30" t="s">
        <v>1458</v>
      </c>
      <c r="E942" s="15" t="s">
        <v>1458</v>
      </c>
    </row>
    <row r="943" spans="1:5" x14ac:dyDescent="0.25">
      <c r="A943" s="36" t="e">
        <f>VLOOKUP($C943,'Variable Information'!$A$2:$E$480,5,FALSE)</f>
        <v>#N/A</v>
      </c>
      <c r="B943" s="36" t="e">
        <f>VLOOKUP($C943,'Variable Information'!$A$1:$C$480,3,FALSE)</f>
        <v>#N/A</v>
      </c>
      <c r="C943" s="35"/>
      <c r="D943" s="30" t="s">
        <v>1460</v>
      </c>
      <c r="E943" s="15" t="s">
        <v>1460</v>
      </c>
    </row>
    <row r="944" spans="1:5" x14ac:dyDescent="0.25">
      <c r="A944" s="36" t="e">
        <f>VLOOKUP($C944,'Variable Information'!$A$2:$E$480,5,FALSE)</f>
        <v>#N/A</v>
      </c>
      <c r="B944" s="36" t="e">
        <f>VLOOKUP($C944,'Variable Information'!$A$1:$C$480,3,FALSE)</f>
        <v>#N/A</v>
      </c>
      <c r="C944" s="35"/>
      <c r="D944" s="30" t="s">
        <v>1462</v>
      </c>
      <c r="E944" s="15" t="s">
        <v>1462</v>
      </c>
    </row>
    <row r="945" spans="1:5" x14ac:dyDescent="0.25">
      <c r="A945" s="36" t="e">
        <f>VLOOKUP($C945,'Variable Information'!$A$2:$E$480,5,FALSE)</f>
        <v>#N/A</v>
      </c>
      <c r="B945" s="36" t="e">
        <f>VLOOKUP($C945,'Variable Information'!$A$1:$C$480,3,FALSE)</f>
        <v>#N/A</v>
      </c>
      <c r="C945" s="35"/>
      <c r="D945" s="30" t="s">
        <v>1471</v>
      </c>
      <c r="E945" s="15" t="s">
        <v>1471</v>
      </c>
    </row>
    <row r="946" spans="1:5" x14ac:dyDescent="0.25">
      <c r="A946" s="36" t="e">
        <f>VLOOKUP($C946,'Variable Information'!$A$2:$E$480,5,FALSE)</f>
        <v>#N/A</v>
      </c>
      <c r="B946" s="36" t="e">
        <f>VLOOKUP($C946,'Variable Information'!$A$1:$C$480,3,FALSE)</f>
        <v>#N/A</v>
      </c>
      <c r="C946" s="35"/>
      <c r="D946" s="30" t="s">
        <v>1473</v>
      </c>
      <c r="E946" s="15" t="s">
        <v>1473</v>
      </c>
    </row>
    <row r="947" spans="1:5" x14ac:dyDescent="0.25">
      <c r="A947" s="36" t="e">
        <f>VLOOKUP($C947,'Variable Information'!$A$2:$E$480,5,FALSE)</f>
        <v>#N/A</v>
      </c>
      <c r="B947" s="36" t="e">
        <f>VLOOKUP($C947,'Variable Information'!$A$1:$C$480,3,FALSE)</f>
        <v>#N/A</v>
      </c>
      <c r="C947" s="35"/>
      <c r="D947" s="30" t="s">
        <v>1475</v>
      </c>
      <c r="E947" s="15" t="s">
        <v>1475</v>
      </c>
    </row>
    <row r="948" spans="1:5" x14ac:dyDescent="0.25">
      <c r="A948" s="36" t="e">
        <f>VLOOKUP($C948,'Variable Information'!$A$2:$E$480,5,FALSE)</f>
        <v>#N/A</v>
      </c>
      <c r="B948" s="36" t="e">
        <f>VLOOKUP($C948,'Variable Information'!$A$1:$C$480,3,FALSE)</f>
        <v>#N/A</v>
      </c>
      <c r="C948" s="35"/>
      <c r="D948" s="30" t="s">
        <v>1477</v>
      </c>
      <c r="E948" s="15" t="s">
        <v>1477</v>
      </c>
    </row>
    <row r="949" spans="1:5" x14ac:dyDescent="0.25">
      <c r="A949" s="36" t="e">
        <f>VLOOKUP($C949,'Variable Information'!$A$2:$E$480,5,FALSE)</f>
        <v>#N/A</v>
      </c>
      <c r="B949" s="36" t="e">
        <f>VLOOKUP($C949,'Variable Information'!$A$1:$C$480,3,FALSE)</f>
        <v>#N/A</v>
      </c>
      <c r="C949" s="35"/>
      <c r="D949" s="30" t="s">
        <v>1503</v>
      </c>
      <c r="E949" s="15" t="s">
        <v>1503</v>
      </c>
    </row>
    <row r="950" spans="1:5" x14ac:dyDescent="0.25">
      <c r="A950" s="36" t="e">
        <f>VLOOKUP($C950,'Variable Information'!$A$2:$E$480,5,FALSE)</f>
        <v>#N/A</v>
      </c>
      <c r="B950" s="36" t="e">
        <f>VLOOKUP($C950,'Variable Information'!$A$1:$C$480,3,FALSE)</f>
        <v>#N/A</v>
      </c>
      <c r="C950" s="35"/>
      <c r="D950" s="30" t="s">
        <v>1524</v>
      </c>
      <c r="E950" s="15" t="s">
        <v>1524</v>
      </c>
    </row>
    <row r="951" spans="1:5" x14ac:dyDescent="0.25">
      <c r="A951" s="36" t="str">
        <f>VLOOKUP($C951,'Variable Information'!$A$2:$E$480,5,FALSE)</f>
        <v>AJP_I3_rank</v>
      </c>
      <c r="B951" s="36" t="str">
        <f>VLOOKUP($C951,'Variable Information'!$A$1:$C$480,3,FALSE)</f>
        <v>Q23_4_9_3. Issue ranking - Issues related to the State pension</v>
      </c>
      <c r="C951" s="35" t="s">
        <v>500</v>
      </c>
      <c r="D951" s="30" t="s">
        <v>1447</v>
      </c>
      <c r="E951" s="15" t="s">
        <v>1447</v>
      </c>
    </row>
    <row r="952" spans="1:5" x14ac:dyDescent="0.25">
      <c r="A952" s="36" t="e">
        <f>VLOOKUP($C952,'Variable Information'!$A$2:$E$480,5,FALSE)</f>
        <v>#N/A</v>
      </c>
      <c r="B952" s="36" t="e">
        <f>VLOOKUP($C952,'Variable Information'!$A$1:$C$480,3,FALSE)</f>
        <v>#N/A</v>
      </c>
      <c r="C952" s="35"/>
      <c r="D952" s="30" t="s">
        <v>1449</v>
      </c>
      <c r="E952" s="15" t="s">
        <v>1449</v>
      </c>
    </row>
    <row r="953" spans="1:5" x14ac:dyDescent="0.25">
      <c r="A953" s="36" t="e">
        <f>VLOOKUP($C953,'Variable Information'!$A$2:$E$480,5,FALSE)</f>
        <v>#N/A</v>
      </c>
      <c r="B953" s="36" t="e">
        <f>VLOOKUP($C953,'Variable Information'!$A$1:$C$480,3,FALSE)</f>
        <v>#N/A</v>
      </c>
      <c r="C953" s="35"/>
      <c r="D953" s="30" t="s">
        <v>1451</v>
      </c>
      <c r="E953" s="15" t="s">
        <v>1451</v>
      </c>
    </row>
    <row r="954" spans="1:5" x14ac:dyDescent="0.25">
      <c r="A954" s="36" t="e">
        <f>VLOOKUP($C954,'Variable Information'!$A$2:$E$480,5,FALSE)</f>
        <v>#N/A</v>
      </c>
      <c r="B954" s="36" t="e">
        <f>VLOOKUP($C954,'Variable Information'!$A$1:$C$480,3,FALSE)</f>
        <v>#N/A</v>
      </c>
      <c r="C954" s="35"/>
      <c r="D954" s="30" t="s">
        <v>1456</v>
      </c>
      <c r="E954" s="15" t="s">
        <v>1456</v>
      </c>
    </row>
    <row r="955" spans="1:5" x14ac:dyDescent="0.25">
      <c r="A955" s="36" t="e">
        <f>VLOOKUP($C955,'Variable Information'!$A$2:$E$480,5,FALSE)</f>
        <v>#N/A</v>
      </c>
      <c r="B955" s="36" t="e">
        <f>VLOOKUP($C955,'Variable Information'!$A$1:$C$480,3,FALSE)</f>
        <v>#N/A</v>
      </c>
      <c r="C955" s="35"/>
      <c r="D955" s="30" t="s">
        <v>1458</v>
      </c>
      <c r="E955" s="15" t="s">
        <v>1458</v>
      </c>
    </row>
    <row r="956" spans="1:5" x14ac:dyDescent="0.25">
      <c r="A956" s="36" t="e">
        <f>VLOOKUP($C956,'Variable Information'!$A$2:$E$480,5,FALSE)</f>
        <v>#N/A</v>
      </c>
      <c r="B956" s="36" t="e">
        <f>VLOOKUP($C956,'Variable Information'!$A$1:$C$480,3,FALSE)</f>
        <v>#N/A</v>
      </c>
      <c r="C956" s="35"/>
      <c r="D956" s="30" t="s">
        <v>1460</v>
      </c>
      <c r="E956" s="15" t="s">
        <v>1460</v>
      </c>
    </row>
    <row r="957" spans="1:5" x14ac:dyDescent="0.25">
      <c r="A957" s="36" t="e">
        <f>VLOOKUP($C957,'Variable Information'!$A$2:$E$480,5,FALSE)</f>
        <v>#N/A</v>
      </c>
      <c r="B957" s="36" t="e">
        <f>VLOOKUP($C957,'Variable Information'!$A$1:$C$480,3,FALSE)</f>
        <v>#N/A</v>
      </c>
      <c r="C957" s="35"/>
      <c r="D957" s="30" t="s">
        <v>1462</v>
      </c>
      <c r="E957" s="15" t="s">
        <v>1462</v>
      </c>
    </row>
    <row r="958" spans="1:5" x14ac:dyDescent="0.25">
      <c r="A958" s="36" t="e">
        <f>VLOOKUP($C958,'Variable Information'!$A$2:$E$480,5,FALSE)</f>
        <v>#N/A</v>
      </c>
      <c r="B958" s="36" t="e">
        <f>VLOOKUP($C958,'Variable Information'!$A$1:$C$480,3,FALSE)</f>
        <v>#N/A</v>
      </c>
      <c r="C958" s="35"/>
      <c r="D958" s="30" t="s">
        <v>1471</v>
      </c>
      <c r="E958" s="15" t="s">
        <v>1471</v>
      </c>
    </row>
    <row r="959" spans="1:5" x14ac:dyDescent="0.25">
      <c r="A959" s="36" t="e">
        <f>VLOOKUP($C959,'Variable Information'!$A$2:$E$480,5,FALSE)</f>
        <v>#N/A</v>
      </c>
      <c r="B959" s="36" t="e">
        <f>VLOOKUP($C959,'Variable Information'!$A$1:$C$480,3,FALSE)</f>
        <v>#N/A</v>
      </c>
      <c r="C959" s="35"/>
      <c r="D959" s="30" t="s">
        <v>1473</v>
      </c>
      <c r="E959" s="15" t="s">
        <v>1473</v>
      </c>
    </row>
    <row r="960" spans="1:5" x14ac:dyDescent="0.25">
      <c r="A960" s="36" t="e">
        <f>VLOOKUP($C960,'Variable Information'!$A$2:$E$480,5,FALSE)</f>
        <v>#N/A</v>
      </c>
      <c r="B960" s="36" t="e">
        <f>VLOOKUP($C960,'Variable Information'!$A$1:$C$480,3,FALSE)</f>
        <v>#N/A</v>
      </c>
      <c r="C960" s="35"/>
      <c r="D960" s="30" t="s">
        <v>1475</v>
      </c>
      <c r="E960" s="15" t="s">
        <v>1475</v>
      </c>
    </row>
    <row r="961" spans="1:5" x14ac:dyDescent="0.25">
      <c r="A961" s="36" t="e">
        <f>VLOOKUP($C961,'Variable Information'!$A$2:$E$480,5,FALSE)</f>
        <v>#N/A</v>
      </c>
      <c r="B961" s="36" t="e">
        <f>VLOOKUP($C961,'Variable Information'!$A$1:$C$480,3,FALSE)</f>
        <v>#N/A</v>
      </c>
      <c r="C961" s="35"/>
      <c r="D961" s="30" t="s">
        <v>1477</v>
      </c>
      <c r="E961" s="15" t="s">
        <v>1477</v>
      </c>
    </row>
    <row r="962" spans="1:5" x14ac:dyDescent="0.25">
      <c r="A962" s="36" t="e">
        <f>VLOOKUP($C962,'Variable Information'!$A$2:$E$480,5,FALSE)</f>
        <v>#N/A</v>
      </c>
      <c r="B962" s="36" t="e">
        <f>VLOOKUP($C962,'Variable Information'!$A$1:$C$480,3,FALSE)</f>
        <v>#N/A</v>
      </c>
      <c r="C962" s="35"/>
      <c r="D962" s="30" t="s">
        <v>1503</v>
      </c>
      <c r="E962" s="15" t="s">
        <v>1503</v>
      </c>
    </row>
    <row r="963" spans="1:5" x14ac:dyDescent="0.25">
      <c r="A963" s="36" t="e">
        <f>VLOOKUP($C963,'Variable Information'!$A$2:$E$480,5,FALSE)</f>
        <v>#N/A</v>
      </c>
      <c r="B963" s="36" t="e">
        <f>VLOOKUP($C963,'Variable Information'!$A$1:$C$480,3,FALSE)</f>
        <v>#N/A</v>
      </c>
      <c r="C963" s="35"/>
      <c r="D963" s="30" t="s">
        <v>1524</v>
      </c>
      <c r="E963" s="15" t="s">
        <v>1524</v>
      </c>
    </row>
    <row r="964" spans="1:5" x14ac:dyDescent="0.25">
      <c r="A964" s="36" t="str">
        <f>VLOOKUP($C964,'Variable Information'!$A$2:$E$480,5,FALSE)</f>
        <v>AJP_I4_rank</v>
      </c>
      <c r="B964" s="36" t="str">
        <f>VLOOKUP($C964,'Variable Information'!$A$1:$C$480,3,FALSE)</f>
        <v>Q23_4_9_4. Issue ranking - Issues with education-related grants (e.g. student grant scheme)</v>
      </c>
      <c r="C964" s="35" t="s">
        <v>503</v>
      </c>
      <c r="D964" s="30" t="s">
        <v>1447</v>
      </c>
      <c r="E964" s="15" t="s">
        <v>1447</v>
      </c>
    </row>
    <row r="965" spans="1:5" x14ac:dyDescent="0.25">
      <c r="A965" s="36" t="e">
        <f>VLOOKUP($C965,'Variable Information'!$A$2:$E$480,5,FALSE)</f>
        <v>#N/A</v>
      </c>
      <c r="B965" s="36" t="e">
        <f>VLOOKUP($C965,'Variable Information'!$A$1:$C$480,3,FALSE)</f>
        <v>#N/A</v>
      </c>
      <c r="C965" s="35"/>
      <c r="D965" s="30" t="s">
        <v>1449</v>
      </c>
      <c r="E965" s="15" t="s">
        <v>1449</v>
      </c>
    </row>
    <row r="966" spans="1:5" x14ac:dyDescent="0.25">
      <c r="A966" s="36" t="e">
        <f>VLOOKUP($C966,'Variable Information'!$A$2:$E$480,5,FALSE)</f>
        <v>#N/A</v>
      </c>
      <c r="B966" s="36" t="e">
        <f>VLOOKUP($C966,'Variable Information'!$A$1:$C$480,3,FALSE)</f>
        <v>#N/A</v>
      </c>
      <c r="C966" s="35"/>
      <c r="D966" s="30" t="s">
        <v>1451</v>
      </c>
      <c r="E966" s="15" t="s">
        <v>1451</v>
      </c>
    </row>
    <row r="967" spans="1:5" x14ac:dyDescent="0.25">
      <c r="A967" s="36" t="e">
        <f>VLOOKUP($C967,'Variable Information'!$A$2:$E$480,5,FALSE)</f>
        <v>#N/A</v>
      </c>
      <c r="B967" s="36" t="e">
        <f>VLOOKUP($C967,'Variable Information'!$A$1:$C$480,3,FALSE)</f>
        <v>#N/A</v>
      </c>
      <c r="C967" s="35"/>
      <c r="D967" s="30" t="s">
        <v>1456</v>
      </c>
      <c r="E967" s="15" t="s">
        <v>1456</v>
      </c>
    </row>
    <row r="968" spans="1:5" x14ac:dyDescent="0.25">
      <c r="A968" s="36" t="e">
        <f>VLOOKUP($C968,'Variable Information'!$A$2:$E$480,5,FALSE)</f>
        <v>#N/A</v>
      </c>
      <c r="B968" s="36" t="e">
        <f>VLOOKUP($C968,'Variable Information'!$A$1:$C$480,3,FALSE)</f>
        <v>#N/A</v>
      </c>
      <c r="C968" s="35"/>
      <c r="D968" s="30" t="s">
        <v>1458</v>
      </c>
      <c r="E968" s="15" t="s">
        <v>1458</v>
      </c>
    </row>
    <row r="969" spans="1:5" x14ac:dyDescent="0.25">
      <c r="A969" s="36" t="e">
        <f>VLOOKUP($C969,'Variable Information'!$A$2:$E$480,5,FALSE)</f>
        <v>#N/A</v>
      </c>
      <c r="B969" s="36" t="e">
        <f>VLOOKUP($C969,'Variable Information'!$A$1:$C$480,3,FALSE)</f>
        <v>#N/A</v>
      </c>
      <c r="C969" s="35"/>
      <c r="D969" s="30" t="s">
        <v>1460</v>
      </c>
      <c r="E969" s="15" t="s">
        <v>1460</v>
      </c>
    </row>
    <row r="970" spans="1:5" x14ac:dyDescent="0.25">
      <c r="A970" s="36" t="e">
        <f>VLOOKUP($C970,'Variable Information'!$A$2:$E$480,5,FALSE)</f>
        <v>#N/A</v>
      </c>
      <c r="B970" s="36" t="e">
        <f>VLOOKUP($C970,'Variable Information'!$A$1:$C$480,3,FALSE)</f>
        <v>#N/A</v>
      </c>
      <c r="C970" s="35"/>
      <c r="D970" s="30" t="s">
        <v>1462</v>
      </c>
      <c r="E970" s="15" t="s">
        <v>1462</v>
      </c>
    </row>
    <row r="971" spans="1:5" x14ac:dyDescent="0.25">
      <c r="A971" s="36" t="e">
        <f>VLOOKUP($C971,'Variable Information'!$A$2:$E$480,5,FALSE)</f>
        <v>#N/A</v>
      </c>
      <c r="B971" s="36" t="e">
        <f>VLOOKUP($C971,'Variable Information'!$A$1:$C$480,3,FALSE)</f>
        <v>#N/A</v>
      </c>
      <c r="C971" s="35"/>
      <c r="D971" s="30" t="s">
        <v>1471</v>
      </c>
      <c r="E971" s="15" t="s">
        <v>1471</v>
      </c>
    </row>
    <row r="972" spans="1:5" x14ac:dyDescent="0.25">
      <c r="A972" s="36" t="e">
        <f>VLOOKUP($C972,'Variable Information'!$A$2:$E$480,5,FALSE)</f>
        <v>#N/A</v>
      </c>
      <c r="B972" s="36" t="e">
        <f>VLOOKUP($C972,'Variable Information'!$A$1:$C$480,3,FALSE)</f>
        <v>#N/A</v>
      </c>
      <c r="C972" s="35"/>
      <c r="D972" s="30" t="s">
        <v>1473</v>
      </c>
      <c r="E972" s="15" t="s">
        <v>1473</v>
      </c>
    </row>
    <row r="973" spans="1:5" x14ac:dyDescent="0.25">
      <c r="A973" s="36" t="e">
        <f>VLOOKUP($C973,'Variable Information'!$A$2:$E$480,5,FALSE)</f>
        <v>#N/A</v>
      </c>
      <c r="B973" s="36" t="e">
        <f>VLOOKUP($C973,'Variable Information'!$A$1:$C$480,3,FALSE)</f>
        <v>#N/A</v>
      </c>
      <c r="C973" s="35"/>
      <c r="D973" s="30" t="s">
        <v>1475</v>
      </c>
      <c r="E973" s="15" t="s">
        <v>1475</v>
      </c>
    </row>
    <row r="974" spans="1:5" x14ac:dyDescent="0.25">
      <c r="A974" s="36" t="e">
        <f>VLOOKUP($C974,'Variable Information'!$A$2:$E$480,5,FALSE)</f>
        <v>#N/A</v>
      </c>
      <c r="B974" s="36" t="e">
        <f>VLOOKUP($C974,'Variable Information'!$A$1:$C$480,3,FALSE)</f>
        <v>#N/A</v>
      </c>
      <c r="C974" s="35"/>
      <c r="D974" s="30" t="s">
        <v>1477</v>
      </c>
      <c r="E974" s="15" t="s">
        <v>1477</v>
      </c>
    </row>
    <row r="975" spans="1:5" x14ac:dyDescent="0.25">
      <c r="A975" s="36" t="e">
        <f>VLOOKUP($C975,'Variable Information'!$A$2:$E$480,5,FALSE)</f>
        <v>#N/A</v>
      </c>
      <c r="B975" s="36" t="e">
        <f>VLOOKUP($C975,'Variable Information'!$A$1:$C$480,3,FALSE)</f>
        <v>#N/A</v>
      </c>
      <c r="C975" s="35"/>
      <c r="D975" s="30" t="s">
        <v>1503</v>
      </c>
      <c r="E975" s="15" t="s">
        <v>1503</v>
      </c>
    </row>
    <row r="976" spans="1:5" x14ac:dyDescent="0.25">
      <c r="A976" s="36" t="e">
        <f>VLOOKUP($C976,'Variable Information'!$A$2:$E$480,5,FALSE)</f>
        <v>#N/A</v>
      </c>
      <c r="B976" s="36" t="e">
        <f>VLOOKUP($C976,'Variable Information'!$A$1:$C$480,3,FALSE)</f>
        <v>#N/A</v>
      </c>
      <c r="C976" s="35"/>
      <c r="D976" s="30" t="s">
        <v>1524</v>
      </c>
      <c r="E976" s="15" t="s">
        <v>1524</v>
      </c>
    </row>
    <row r="977" spans="1:5" x14ac:dyDescent="0.25">
      <c r="A977" s="36" t="str">
        <f>VLOOKUP($C977,'Variable Information'!$A$2:$E$480,5,FALSE)</f>
        <v>AJP_I5_rank</v>
      </c>
      <c r="B977" s="36" t="str">
        <f>VLOOKUP($C977,'Variable Information'!$A$1:$C$480,3,FALSE)</f>
        <v>Q23_4_9_5. Issue ranking - Issues with Disability Allowance</v>
      </c>
      <c r="C977" s="35" t="s">
        <v>506</v>
      </c>
      <c r="D977" s="30" t="s">
        <v>1447</v>
      </c>
      <c r="E977" s="15" t="s">
        <v>1447</v>
      </c>
    </row>
    <row r="978" spans="1:5" x14ac:dyDescent="0.25">
      <c r="A978" s="36" t="e">
        <f>VLOOKUP($C978,'Variable Information'!$A$2:$E$480,5,FALSE)</f>
        <v>#N/A</v>
      </c>
      <c r="B978" s="36" t="e">
        <f>VLOOKUP($C978,'Variable Information'!$A$1:$C$480,3,FALSE)</f>
        <v>#N/A</v>
      </c>
      <c r="C978" s="35"/>
      <c r="D978" s="30" t="s">
        <v>1449</v>
      </c>
      <c r="E978" s="15" t="s">
        <v>1449</v>
      </c>
    </row>
    <row r="979" spans="1:5" x14ac:dyDescent="0.25">
      <c r="A979" s="36" t="e">
        <f>VLOOKUP($C979,'Variable Information'!$A$2:$E$480,5,FALSE)</f>
        <v>#N/A</v>
      </c>
      <c r="B979" s="36" t="e">
        <f>VLOOKUP($C979,'Variable Information'!$A$1:$C$480,3,FALSE)</f>
        <v>#N/A</v>
      </c>
      <c r="C979" s="35"/>
      <c r="D979" s="30" t="s">
        <v>1451</v>
      </c>
      <c r="E979" s="15" t="s">
        <v>1451</v>
      </c>
    </row>
    <row r="980" spans="1:5" x14ac:dyDescent="0.25">
      <c r="A980" s="36" t="e">
        <f>VLOOKUP($C980,'Variable Information'!$A$2:$E$480,5,FALSE)</f>
        <v>#N/A</v>
      </c>
      <c r="B980" s="36" t="e">
        <f>VLOOKUP($C980,'Variable Information'!$A$1:$C$480,3,FALSE)</f>
        <v>#N/A</v>
      </c>
      <c r="C980" s="35"/>
      <c r="D980" s="30" t="s">
        <v>1456</v>
      </c>
      <c r="E980" s="15" t="s">
        <v>1456</v>
      </c>
    </row>
    <row r="981" spans="1:5" x14ac:dyDescent="0.25">
      <c r="A981" s="36" t="e">
        <f>VLOOKUP($C981,'Variable Information'!$A$2:$E$480,5,FALSE)</f>
        <v>#N/A</v>
      </c>
      <c r="B981" s="36" t="e">
        <f>VLOOKUP($C981,'Variable Information'!$A$1:$C$480,3,FALSE)</f>
        <v>#N/A</v>
      </c>
      <c r="C981" s="35"/>
      <c r="D981" s="30" t="s">
        <v>1458</v>
      </c>
      <c r="E981" s="15" t="s">
        <v>1458</v>
      </c>
    </row>
    <row r="982" spans="1:5" x14ac:dyDescent="0.25">
      <c r="A982" s="36" t="e">
        <f>VLOOKUP($C982,'Variable Information'!$A$2:$E$480,5,FALSE)</f>
        <v>#N/A</v>
      </c>
      <c r="B982" s="36" t="e">
        <f>VLOOKUP($C982,'Variable Information'!$A$1:$C$480,3,FALSE)</f>
        <v>#N/A</v>
      </c>
      <c r="C982" s="35"/>
      <c r="D982" s="30" t="s">
        <v>1460</v>
      </c>
      <c r="E982" s="15" t="s">
        <v>1460</v>
      </c>
    </row>
    <row r="983" spans="1:5" x14ac:dyDescent="0.25">
      <c r="A983" s="36" t="e">
        <f>VLOOKUP($C983,'Variable Information'!$A$2:$E$480,5,FALSE)</f>
        <v>#N/A</v>
      </c>
      <c r="B983" s="36" t="e">
        <f>VLOOKUP($C983,'Variable Information'!$A$1:$C$480,3,FALSE)</f>
        <v>#N/A</v>
      </c>
      <c r="C983" s="35"/>
      <c r="D983" s="30" t="s">
        <v>1462</v>
      </c>
      <c r="E983" s="15" t="s">
        <v>1462</v>
      </c>
    </row>
    <row r="984" spans="1:5" x14ac:dyDescent="0.25">
      <c r="A984" s="36" t="e">
        <f>VLOOKUP($C984,'Variable Information'!$A$2:$E$480,5,FALSE)</f>
        <v>#N/A</v>
      </c>
      <c r="B984" s="36" t="e">
        <f>VLOOKUP($C984,'Variable Information'!$A$1:$C$480,3,FALSE)</f>
        <v>#N/A</v>
      </c>
      <c r="C984" s="35"/>
      <c r="D984" s="30" t="s">
        <v>1471</v>
      </c>
      <c r="E984" s="15" t="s">
        <v>1471</v>
      </c>
    </row>
    <row r="985" spans="1:5" x14ac:dyDescent="0.25">
      <c r="A985" s="36" t="e">
        <f>VLOOKUP($C985,'Variable Information'!$A$2:$E$480,5,FALSE)</f>
        <v>#N/A</v>
      </c>
      <c r="B985" s="36" t="e">
        <f>VLOOKUP($C985,'Variable Information'!$A$1:$C$480,3,FALSE)</f>
        <v>#N/A</v>
      </c>
      <c r="C985" s="35"/>
      <c r="D985" s="30" t="s">
        <v>1473</v>
      </c>
      <c r="E985" s="15" t="s">
        <v>1473</v>
      </c>
    </row>
    <row r="986" spans="1:5" x14ac:dyDescent="0.25">
      <c r="A986" s="36" t="e">
        <f>VLOOKUP($C986,'Variable Information'!$A$2:$E$480,5,FALSE)</f>
        <v>#N/A</v>
      </c>
      <c r="B986" s="36" t="e">
        <f>VLOOKUP($C986,'Variable Information'!$A$1:$C$480,3,FALSE)</f>
        <v>#N/A</v>
      </c>
      <c r="C986" s="35"/>
      <c r="D986" s="30" t="s">
        <v>1475</v>
      </c>
      <c r="E986" s="15" t="s">
        <v>1475</v>
      </c>
    </row>
    <row r="987" spans="1:5" x14ac:dyDescent="0.25">
      <c r="A987" s="36" t="e">
        <f>VLOOKUP($C987,'Variable Information'!$A$2:$E$480,5,FALSE)</f>
        <v>#N/A</v>
      </c>
      <c r="B987" s="36" t="e">
        <f>VLOOKUP($C987,'Variable Information'!$A$1:$C$480,3,FALSE)</f>
        <v>#N/A</v>
      </c>
      <c r="C987" s="35"/>
      <c r="D987" s="30" t="s">
        <v>1477</v>
      </c>
      <c r="E987" s="15" t="s">
        <v>1477</v>
      </c>
    </row>
    <row r="988" spans="1:5" x14ac:dyDescent="0.25">
      <c r="A988" s="36" t="e">
        <f>VLOOKUP($C988,'Variable Information'!$A$2:$E$480,5,FALSE)</f>
        <v>#N/A</v>
      </c>
      <c r="B988" s="36" t="e">
        <f>VLOOKUP($C988,'Variable Information'!$A$1:$C$480,3,FALSE)</f>
        <v>#N/A</v>
      </c>
      <c r="C988" s="35"/>
      <c r="D988" s="30" t="s">
        <v>1503</v>
      </c>
      <c r="E988" s="15" t="s">
        <v>1503</v>
      </c>
    </row>
    <row r="989" spans="1:5" x14ac:dyDescent="0.25">
      <c r="A989" s="36" t="e">
        <f>VLOOKUP($C989,'Variable Information'!$A$2:$E$480,5,FALSE)</f>
        <v>#N/A</v>
      </c>
      <c r="B989" s="36" t="e">
        <f>VLOOKUP($C989,'Variable Information'!$A$1:$C$480,3,FALSE)</f>
        <v>#N/A</v>
      </c>
      <c r="C989" s="35"/>
      <c r="D989" s="30" t="s">
        <v>1524</v>
      </c>
      <c r="E989" s="15" t="s">
        <v>1524</v>
      </c>
    </row>
    <row r="990" spans="1:5" x14ac:dyDescent="0.25">
      <c r="A990" s="36" t="str">
        <f>VLOOKUP($C990,'Variable Information'!$A$2:$E$480,5,FALSE)</f>
        <v>AJP_I6_rank</v>
      </c>
      <c r="B990" s="36" t="str">
        <f>VLOOKUP($C990,'Variable Information'!$A$1:$C$480,3,FALSE)</f>
        <v>Q23_4_9_6. Issue ranking - Other government benefit/payment issues</v>
      </c>
      <c r="C990" s="35" t="s">
        <v>509</v>
      </c>
      <c r="D990" s="30" t="s">
        <v>1447</v>
      </c>
      <c r="E990" s="15" t="s">
        <v>1447</v>
      </c>
    </row>
    <row r="991" spans="1:5" x14ac:dyDescent="0.25">
      <c r="A991" s="36" t="e">
        <f>VLOOKUP($C991,'Variable Information'!$A$2:$E$480,5,FALSE)</f>
        <v>#N/A</v>
      </c>
      <c r="B991" s="36" t="e">
        <f>VLOOKUP($C991,'Variable Information'!$A$1:$C$480,3,FALSE)</f>
        <v>#N/A</v>
      </c>
      <c r="C991" s="35"/>
      <c r="D991" s="30" t="s">
        <v>1449</v>
      </c>
      <c r="E991" s="15" t="s">
        <v>1449</v>
      </c>
    </row>
    <row r="992" spans="1:5" x14ac:dyDescent="0.25">
      <c r="A992" s="36" t="e">
        <f>VLOOKUP($C992,'Variable Information'!$A$2:$E$480,5,FALSE)</f>
        <v>#N/A</v>
      </c>
      <c r="B992" s="36" t="e">
        <f>VLOOKUP($C992,'Variable Information'!$A$1:$C$480,3,FALSE)</f>
        <v>#N/A</v>
      </c>
      <c r="C992" s="35"/>
      <c r="D992" s="30" t="s">
        <v>1451</v>
      </c>
      <c r="E992" s="15" t="s">
        <v>1451</v>
      </c>
    </row>
    <row r="993" spans="1:5" x14ac:dyDescent="0.25">
      <c r="A993" s="36" t="e">
        <f>VLOOKUP($C993,'Variable Information'!$A$2:$E$480,5,FALSE)</f>
        <v>#N/A</v>
      </c>
      <c r="B993" s="36" t="e">
        <f>VLOOKUP($C993,'Variable Information'!$A$1:$C$480,3,FALSE)</f>
        <v>#N/A</v>
      </c>
      <c r="C993" s="35"/>
      <c r="D993" s="30" t="s">
        <v>1456</v>
      </c>
      <c r="E993" s="15" t="s">
        <v>1456</v>
      </c>
    </row>
    <row r="994" spans="1:5" x14ac:dyDescent="0.25">
      <c r="A994" s="36" t="e">
        <f>VLOOKUP($C994,'Variable Information'!$A$2:$E$480,5,FALSE)</f>
        <v>#N/A</v>
      </c>
      <c r="B994" s="36" t="e">
        <f>VLOOKUP($C994,'Variable Information'!$A$1:$C$480,3,FALSE)</f>
        <v>#N/A</v>
      </c>
      <c r="C994" s="35"/>
      <c r="D994" s="30" t="s">
        <v>1458</v>
      </c>
      <c r="E994" s="15" t="s">
        <v>1458</v>
      </c>
    </row>
    <row r="995" spans="1:5" x14ac:dyDescent="0.25">
      <c r="A995" s="36" t="e">
        <f>VLOOKUP($C995,'Variable Information'!$A$2:$E$480,5,FALSE)</f>
        <v>#N/A</v>
      </c>
      <c r="B995" s="36" t="e">
        <f>VLOOKUP($C995,'Variable Information'!$A$1:$C$480,3,FALSE)</f>
        <v>#N/A</v>
      </c>
      <c r="C995" s="35"/>
      <c r="D995" s="30" t="s">
        <v>1460</v>
      </c>
      <c r="E995" s="15" t="s">
        <v>1460</v>
      </c>
    </row>
    <row r="996" spans="1:5" x14ac:dyDescent="0.25">
      <c r="A996" s="36" t="e">
        <f>VLOOKUP($C996,'Variable Information'!$A$2:$E$480,5,FALSE)</f>
        <v>#N/A</v>
      </c>
      <c r="B996" s="36" t="e">
        <f>VLOOKUP($C996,'Variable Information'!$A$1:$C$480,3,FALSE)</f>
        <v>#N/A</v>
      </c>
      <c r="C996" s="35"/>
      <c r="D996" s="30" t="s">
        <v>1462</v>
      </c>
      <c r="E996" s="15" t="s">
        <v>1462</v>
      </c>
    </row>
    <row r="997" spans="1:5" x14ac:dyDescent="0.25">
      <c r="A997" s="36" t="e">
        <f>VLOOKUP($C997,'Variable Information'!$A$2:$E$480,5,FALSE)</f>
        <v>#N/A</v>
      </c>
      <c r="B997" s="36" t="e">
        <f>VLOOKUP($C997,'Variable Information'!$A$1:$C$480,3,FALSE)</f>
        <v>#N/A</v>
      </c>
      <c r="C997" s="35"/>
      <c r="D997" s="30" t="s">
        <v>1471</v>
      </c>
      <c r="E997" s="15" t="s">
        <v>1471</v>
      </c>
    </row>
    <row r="998" spans="1:5" x14ac:dyDescent="0.25">
      <c r="A998" s="36" t="e">
        <f>VLOOKUP($C998,'Variable Information'!$A$2:$E$480,5,FALSE)</f>
        <v>#N/A</v>
      </c>
      <c r="B998" s="36" t="e">
        <f>VLOOKUP($C998,'Variable Information'!$A$1:$C$480,3,FALSE)</f>
        <v>#N/A</v>
      </c>
      <c r="C998" s="35"/>
      <c r="D998" s="30" t="s">
        <v>1473</v>
      </c>
      <c r="E998" s="15" t="s">
        <v>1473</v>
      </c>
    </row>
    <row r="999" spans="1:5" x14ac:dyDescent="0.25">
      <c r="A999" s="36" t="e">
        <f>VLOOKUP($C999,'Variable Information'!$A$2:$E$480,5,FALSE)</f>
        <v>#N/A</v>
      </c>
      <c r="B999" s="36" t="e">
        <f>VLOOKUP($C999,'Variable Information'!$A$1:$C$480,3,FALSE)</f>
        <v>#N/A</v>
      </c>
      <c r="C999" s="35"/>
      <c r="D999" s="30" t="s">
        <v>1475</v>
      </c>
      <c r="E999" s="15" t="s">
        <v>1475</v>
      </c>
    </row>
    <row r="1000" spans="1:5" x14ac:dyDescent="0.25">
      <c r="A1000" s="36" t="e">
        <f>VLOOKUP($C1000,'Variable Information'!$A$2:$E$480,5,FALSE)</f>
        <v>#N/A</v>
      </c>
      <c r="B1000" s="36" t="e">
        <f>VLOOKUP($C1000,'Variable Information'!$A$1:$C$480,3,FALSE)</f>
        <v>#N/A</v>
      </c>
      <c r="C1000" s="35"/>
      <c r="D1000" s="30" t="s">
        <v>1477</v>
      </c>
      <c r="E1000" s="15" t="s">
        <v>1477</v>
      </c>
    </row>
    <row r="1001" spans="1:5" x14ac:dyDescent="0.25">
      <c r="A1001" s="36" t="e">
        <f>VLOOKUP($C1001,'Variable Information'!$A$2:$E$480,5,FALSE)</f>
        <v>#N/A</v>
      </c>
      <c r="B1001" s="36" t="e">
        <f>VLOOKUP($C1001,'Variable Information'!$A$1:$C$480,3,FALSE)</f>
        <v>#N/A</v>
      </c>
      <c r="C1001" s="35"/>
      <c r="D1001" s="30" t="s">
        <v>1503</v>
      </c>
      <c r="E1001" s="15" t="s">
        <v>1503</v>
      </c>
    </row>
    <row r="1002" spans="1:5" x14ac:dyDescent="0.25">
      <c r="A1002" s="36" t="e">
        <f>VLOOKUP($C1002,'Variable Information'!$A$2:$E$480,5,FALSE)</f>
        <v>#N/A</v>
      </c>
      <c r="B1002" s="36" t="e">
        <f>VLOOKUP($C1002,'Variable Information'!$A$1:$C$480,3,FALSE)</f>
        <v>#N/A</v>
      </c>
      <c r="C1002" s="35"/>
      <c r="D1002" s="30" t="s">
        <v>1524</v>
      </c>
      <c r="E1002" s="15" t="s">
        <v>1524</v>
      </c>
    </row>
    <row r="1003" spans="1:5" x14ac:dyDescent="0.25">
      <c r="A1003" s="36" t="str">
        <f>VLOOKUP($C1003,'Variable Information'!$A$2:$E$480,5,FALSE)</f>
        <v>AJP_J1_rank</v>
      </c>
      <c r="B1003" s="36" t="str">
        <f>VLOOKUP($C1003,'Variable Information'!$A$1:$C$480,3,FALSE)</f>
        <v>Q23_4_10_1. Issue ranking - Issues obtaining an Irish Passport other ID licences or other official documents</v>
      </c>
      <c r="C1003" s="35" t="s">
        <v>512</v>
      </c>
      <c r="D1003" s="30" t="s">
        <v>1447</v>
      </c>
      <c r="E1003" s="15" t="s">
        <v>1447</v>
      </c>
    </row>
    <row r="1004" spans="1:5" x14ac:dyDescent="0.25">
      <c r="A1004" s="36" t="e">
        <f>VLOOKUP($C1004,'Variable Information'!$A$2:$E$480,5,FALSE)</f>
        <v>#N/A</v>
      </c>
      <c r="B1004" s="36" t="e">
        <f>VLOOKUP($C1004,'Variable Information'!$A$1:$C$480,3,FALSE)</f>
        <v>#N/A</v>
      </c>
      <c r="C1004" s="35"/>
      <c r="D1004" s="30" t="s">
        <v>1449</v>
      </c>
      <c r="E1004" s="15" t="s">
        <v>1449</v>
      </c>
    </row>
    <row r="1005" spans="1:5" x14ac:dyDescent="0.25">
      <c r="A1005" s="36" t="e">
        <f>VLOOKUP($C1005,'Variable Information'!$A$2:$E$480,5,FALSE)</f>
        <v>#N/A</v>
      </c>
      <c r="B1005" s="36" t="e">
        <f>VLOOKUP($C1005,'Variable Information'!$A$1:$C$480,3,FALSE)</f>
        <v>#N/A</v>
      </c>
      <c r="C1005" s="35"/>
      <c r="D1005" s="30" t="s">
        <v>1451</v>
      </c>
      <c r="E1005" s="15" t="s">
        <v>1451</v>
      </c>
    </row>
    <row r="1006" spans="1:5" x14ac:dyDescent="0.25">
      <c r="A1006" s="36" t="e">
        <f>VLOOKUP($C1006,'Variable Information'!$A$2:$E$480,5,FALSE)</f>
        <v>#N/A</v>
      </c>
      <c r="B1006" s="36" t="e">
        <f>VLOOKUP($C1006,'Variable Information'!$A$1:$C$480,3,FALSE)</f>
        <v>#N/A</v>
      </c>
      <c r="C1006" s="35"/>
      <c r="D1006" s="30" t="s">
        <v>1456</v>
      </c>
      <c r="E1006" s="15" t="s">
        <v>1456</v>
      </c>
    </row>
    <row r="1007" spans="1:5" x14ac:dyDescent="0.25">
      <c r="A1007" s="36" t="e">
        <f>VLOOKUP($C1007,'Variable Information'!$A$2:$E$480,5,FALSE)</f>
        <v>#N/A</v>
      </c>
      <c r="B1007" s="36" t="e">
        <f>VLOOKUP($C1007,'Variable Information'!$A$1:$C$480,3,FALSE)</f>
        <v>#N/A</v>
      </c>
      <c r="C1007" s="35"/>
      <c r="D1007" s="30" t="s">
        <v>1458</v>
      </c>
      <c r="E1007" s="15" t="s">
        <v>1458</v>
      </c>
    </row>
    <row r="1008" spans="1:5" x14ac:dyDescent="0.25">
      <c r="A1008" s="36" t="e">
        <f>VLOOKUP($C1008,'Variable Information'!$A$2:$E$480,5,FALSE)</f>
        <v>#N/A</v>
      </c>
      <c r="B1008" s="36" t="e">
        <f>VLOOKUP($C1008,'Variable Information'!$A$1:$C$480,3,FALSE)</f>
        <v>#N/A</v>
      </c>
      <c r="C1008" s="35"/>
      <c r="D1008" s="30" t="s">
        <v>1460</v>
      </c>
      <c r="E1008" s="15" t="s">
        <v>1460</v>
      </c>
    </row>
    <row r="1009" spans="1:5" x14ac:dyDescent="0.25">
      <c r="A1009" s="36" t="e">
        <f>VLOOKUP($C1009,'Variable Information'!$A$2:$E$480,5,FALSE)</f>
        <v>#N/A</v>
      </c>
      <c r="B1009" s="36" t="e">
        <f>VLOOKUP($C1009,'Variable Information'!$A$1:$C$480,3,FALSE)</f>
        <v>#N/A</v>
      </c>
      <c r="C1009" s="35"/>
      <c r="D1009" s="30" t="s">
        <v>1462</v>
      </c>
      <c r="E1009" s="15" t="s">
        <v>1462</v>
      </c>
    </row>
    <row r="1010" spans="1:5" x14ac:dyDescent="0.25">
      <c r="A1010" s="36" t="e">
        <f>VLOOKUP($C1010,'Variable Information'!$A$2:$E$480,5,FALSE)</f>
        <v>#N/A</v>
      </c>
      <c r="B1010" s="36" t="e">
        <f>VLOOKUP($C1010,'Variable Information'!$A$1:$C$480,3,FALSE)</f>
        <v>#N/A</v>
      </c>
      <c r="C1010" s="35"/>
      <c r="D1010" s="30" t="s">
        <v>1471</v>
      </c>
      <c r="E1010" s="15" t="s">
        <v>1471</v>
      </c>
    </row>
    <row r="1011" spans="1:5" x14ac:dyDescent="0.25">
      <c r="A1011" s="36" t="e">
        <f>VLOOKUP($C1011,'Variable Information'!$A$2:$E$480,5,FALSE)</f>
        <v>#N/A</v>
      </c>
      <c r="B1011" s="36" t="e">
        <f>VLOOKUP($C1011,'Variable Information'!$A$1:$C$480,3,FALSE)</f>
        <v>#N/A</v>
      </c>
      <c r="C1011" s="35"/>
      <c r="D1011" s="30" t="s">
        <v>1473</v>
      </c>
      <c r="E1011" s="15" t="s">
        <v>1473</v>
      </c>
    </row>
    <row r="1012" spans="1:5" x14ac:dyDescent="0.25">
      <c r="A1012" s="36" t="e">
        <f>VLOOKUP($C1012,'Variable Information'!$A$2:$E$480,5,FALSE)</f>
        <v>#N/A</v>
      </c>
      <c r="B1012" s="36" t="e">
        <f>VLOOKUP($C1012,'Variable Information'!$A$1:$C$480,3,FALSE)</f>
        <v>#N/A</v>
      </c>
      <c r="C1012" s="35"/>
      <c r="D1012" s="30" t="s">
        <v>1475</v>
      </c>
      <c r="E1012" s="15" t="s">
        <v>1475</v>
      </c>
    </row>
    <row r="1013" spans="1:5" x14ac:dyDescent="0.25">
      <c r="A1013" s="36" t="e">
        <f>VLOOKUP($C1013,'Variable Information'!$A$2:$E$480,5,FALSE)</f>
        <v>#N/A</v>
      </c>
      <c r="B1013" s="36" t="e">
        <f>VLOOKUP($C1013,'Variable Information'!$A$1:$C$480,3,FALSE)</f>
        <v>#N/A</v>
      </c>
      <c r="C1013" s="35"/>
      <c r="D1013" s="30" t="s">
        <v>1477</v>
      </c>
      <c r="E1013" s="15" t="s">
        <v>1477</v>
      </c>
    </row>
    <row r="1014" spans="1:5" x14ac:dyDescent="0.25">
      <c r="A1014" s="36" t="e">
        <f>VLOOKUP($C1014,'Variable Information'!$A$2:$E$480,5,FALSE)</f>
        <v>#N/A</v>
      </c>
      <c r="B1014" s="36" t="e">
        <f>VLOOKUP($C1014,'Variable Information'!$A$1:$C$480,3,FALSE)</f>
        <v>#N/A</v>
      </c>
      <c r="C1014" s="35"/>
      <c r="D1014" s="30" t="s">
        <v>1503</v>
      </c>
      <c r="E1014" s="15" t="s">
        <v>1503</v>
      </c>
    </row>
    <row r="1015" spans="1:5" x14ac:dyDescent="0.25">
      <c r="A1015" s="36" t="e">
        <f>VLOOKUP($C1015,'Variable Information'!$A$2:$E$480,5,FALSE)</f>
        <v>#N/A</v>
      </c>
      <c r="B1015" s="36" t="e">
        <f>VLOOKUP($C1015,'Variable Information'!$A$1:$C$480,3,FALSE)</f>
        <v>#N/A</v>
      </c>
      <c r="C1015" s="35"/>
      <c r="D1015" s="30" t="s">
        <v>1524</v>
      </c>
      <c r="E1015" s="15" t="s">
        <v>1524</v>
      </c>
    </row>
    <row r="1016" spans="1:5" x14ac:dyDescent="0.25">
      <c r="A1016" s="36" t="str">
        <f>VLOOKUP($C1016,'Variable Information'!$A$2:$E$480,5,FALSE)</f>
        <v>AJP_J2_rank</v>
      </c>
      <c r="B1016" s="36" t="str">
        <f>VLOOKUP($C1016,'Variable Information'!$A$1:$C$480,3,FALSE)</f>
        <v>Q23_4_10_2. Issue ranking - Issues with obtaining healthcare or disability services</v>
      </c>
      <c r="C1016" s="35" t="s">
        <v>515</v>
      </c>
      <c r="D1016" s="30" t="s">
        <v>1447</v>
      </c>
      <c r="E1016" s="15" t="s">
        <v>1447</v>
      </c>
    </row>
    <row r="1017" spans="1:5" x14ac:dyDescent="0.25">
      <c r="A1017" s="36" t="e">
        <f>VLOOKUP($C1017,'Variable Information'!$A$2:$E$480,5,FALSE)</f>
        <v>#N/A</v>
      </c>
      <c r="B1017" s="36" t="e">
        <f>VLOOKUP($C1017,'Variable Information'!$A$1:$C$480,3,FALSE)</f>
        <v>#N/A</v>
      </c>
      <c r="C1017" s="35"/>
      <c r="D1017" s="30" t="s">
        <v>1449</v>
      </c>
      <c r="E1017" s="15" t="s">
        <v>1449</v>
      </c>
    </row>
    <row r="1018" spans="1:5" x14ac:dyDescent="0.25">
      <c r="A1018" s="36" t="e">
        <f>VLOOKUP($C1018,'Variable Information'!$A$2:$E$480,5,FALSE)</f>
        <v>#N/A</v>
      </c>
      <c r="B1018" s="36" t="e">
        <f>VLOOKUP($C1018,'Variable Information'!$A$1:$C$480,3,FALSE)</f>
        <v>#N/A</v>
      </c>
      <c r="C1018" s="35"/>
      <c r="D1018" s="30" t="s">
        <v>1451</v>
      </c>
      <c r="E1018" s="15" t="s">
        <v>1451</v>
      </c>
    </row>
    <row r="1019" spans="1:5" x14ac:dyDescent="0.25">
      <c r="A1019" s="36" t="e">
        <f>VLOOKUP($C1019,'Variable Information'!$A$2:$E$480,5,FALSE)</f>
        <v>#N/A</v>
      </c>
      <c r="B1019" s="36" t="e">
        <f>VLOOKUP($C1019,'Variable Information'!$A$1:$C$480,3,FALSE)</f>
        <v>#N/A</v>
      </c>
      <c r="C1019" s="35"/>
      <c r="D1019" s="30" t="s">
        <v>1456</v>
      </c>
      <c r="E1019" s="15" t="s">
        <v>1456</v>
      </c>
    </row>
    <row r="1020" spans="1:5" x14ac:dyDescent="0.25">
      <c r="A1020" s="36" t="e">
        <f>VLOOKUP($C1020,'Variable Information'!$A$2:$E$480,5,FALSE)</f>
        <v>#N/A</v>
      </c>
      <c r="B1020" s="36" t="e">
        <f>VLOOKUP($C1020,'Variable Information'!$A$1:$C$480,3,FALSE)</f>
        <v>#N/A</v>
      </c>
      <c r="C1020" s="35"/>
      <c r="D1020" s="30" t="s">
        <v>1458</v>
      </c>
      <c r="E1020" s="15" t="s">
        <v>1458</v>
      </c>
    </row>
    <row r="1021" spans="1:5" x14ac:dyDescent="0.25">
      <c r="A1021" s="36" t="e">
        <f>VLOOKUP($C1021,'Variable Information'!$A$2:$E$480,5,FALSE)</f>
        <v>#N/A</v>
      </c>
      <c r="B1021" s="36" t="e">
        <f>VLOOKUP($C1021,'Variable Information'!$A$1:$C$480,3,FALSE)</f>
        <v>#N/A</v>
      </c>
      <c r="C1021" s="35"/>
      <c r="D1021" s="30" t="s">
        <v>1460</v>
      </c>
      <c r="E1021" s="15" t="s">
        <v>1460</v>
      </c>
    </row>
    <row r="1022" spans="1:5" x14ac:dyDescent="0.25">
      <c r="A1022" s="36" t="e">
        <f>VLOOKUP($C1022,'Variable Information'!$A$2:$E$480,5,FALSE)</f>
        <v>#N/A</v>
      </c>
      <c r="B1022" s="36" t="e">
        <f>VLOOKUP($C1022,'Variable Information'!$A$1:$C$480,3,FALSE)</f>
        <v>#N/A</v>
      </c>
      <c r="C1022" s="35"/>
      <c r="D1022" s="30" t="s">
        <v>1462</v>
      </c>
      <c r="E1022" s="15" t="s">
        <v>1462</v>
      </c>
    </row>
    <row r="1023" spans="1:5" x14ac:dyDescent="0.25">
      <c r="A1023" s="36" t="e">
        <f>VLOOKUP($C1023,'Variable Information'!$A$2:$E$480,5,FALSE)</f>
        <v>#N/A</v>
      </c>
      <c r="B1023" s="36" t="e">
        <f>VLOOKUP($C1023,'Variable Information'!$A$1:$C$480,3,FALSE)</f>
        <v>#N/A</v>
      </c>
      <c r="C1023" s="35"/>
      <c r="D1023" s="30" t="s">
        <v>1471</v>
      </c>
      <c r="E1023" s="15" t="s">
        <v>1471</v>
      </c>
    </row>
    <row r="1024" spans="1:5" x14ac:dyDescent="0.25">
      <c r="A1024" s="36" t="e">
        <f>VLOOKUP($C1024,'Variable Information'!$A$2:$E$480,5,FALSE)</f>
        <v>#N/A</v>
      </c>
      <c r="B1024" s="36" t="e">
        <f>VLOOKUP($C1024,'Variable Information'!$A$1:$C$480,3,FALSE)</f>
        <v>#N/A</v>
      </c>
      <c r="C1024" s="35"/>
      <c r="D1024" s="30" t="s">
        <v>1473</v>
      </c>
      <c r="E1024" s="15" t="s">
        <v>1473</v>
      </c>
    </row>
    <row r="1025" spans="1:5" x14ac:dyDescent="0.25">
      <c r="A1025" s="36" t="e">
        <f>VLOOKUP($C1025,'Variable Information'!$A$2:$E$480,5,FALSE)</f>
        <v>#N/A</v>
      </c>
      <c r="B1025" s="36" t="e">
        <f>VLOOKUP($C1025,'Variable Information'!$A$1:$C$480,3,FALSE)</f>
        <v>#N/A</v>
      </c>
      <c r="C1025" s="35"/>
      <c r="D1025" s="30" t="s">
        <v>1475</v>
      </c>
      <c r="E1025" s="15" t="s">
        <v>1475</v>
      </c>
    </row>
    <row r="1026" spans="1:5" x14ac:dyDescent="0.25">
      <c r="A1026" s="36" t="e">
        <f>VLOOKUP($C1026,'Variable Information'!$A$2:$E$480,5,FALSE)</f>
        <v>#N/A</v>
      </c>
      <c r="B1026" s="36" t="e">
        <f>VLOOKUP($C1026,'Variable Information'!$A$1:$C$480,3,FALSE)</f>
        <v>#N/A</v>
      </c>
      <c r="C1026" s="35"/>
      <c r="D1026" s="30" t="s">
        <v>1477</v>
      </c>
      <c r="E1026" s="15" t="s">
        <v>1477</v>
      </c>
    </row>
    <row r="1027" spans="1:5" x14ac:dyDescent="0.25">
      <c r="A1027" s="36" t="e">
        <f>VLOOKUP($C1027,'Variable Information'!$A$2:$E$480,5,FALSE)</f>
        <v>#N/A</v>
      </c>
      <c r="B1027" s="36" t="e">
        <f>VLOOKUP($C1027,'Variable Information'!$A$1:$C$480,3,FALSE)</f>
        <v>#N/A</v>
      </c>
      <c r="C1027" s="35"/>
      <c r="D1027" s="30" t="s">
        <v>1503</v>
      </c>
      <c r="E1027" s="15" t="s">
        <v>1503</v>
      </c>
    </row>
    <row r="1028" spans="1:5" x14ac:dyDescent="0.25">
      <c r="A1028" s="36" t="e">
        <f>VLOOKUP($C1028,'Variable Information'!$A$2:$E$480,5,FALSE)</f>
        <v>#N/A</v>
      </c>
      <c r="B1028" s="36" t="e">
        <f>VLOOKUP($C1028,'Variable Information'!$A$1:$C$480,3,FALSE)</f>
        <v>#N/A</v>
      </c>
      <c r="C1028" s="35"/>
      <c r="D1028" s="30" t="s">
        <v>1524</v>
      </c>
      <c r="E1028" s="15" t="s">
        <v>1524</v>
      </c>
    </row>
    <row r="1029" spans="1:5" x14ac:dyDescent="0.25">
      <c r="A1029" s="36" t="str">
        <f>VLOOKUP($C1029,'Variable Information'!$A$2:$E$480,5,FALSE)</f>
        <v>AJP_J3_rank</v>
      </c>
      <c r="B1029" s="36" t="str">
        <f>VLOOKUP($C1029,'Variable Information'!$A$1:$C$480,3,FALSE)</f>
        <v>Q23_4_10_3. Issue ranking - Issues with obtaining government/social housing (excluding issues experienced as a tenant)</v>
      </c>
      <c r="C1029" s="35" t="s">
        <v>518</v>
      </c>
      <c r="D1029" s="30" t="s">
        <v>1447</v>
      </c>
      <c r="E1029" s="15" t="s">
        <v>1447</v>
      </c>
    </row>
    <row r="1030" spans="1:5" x14ac:dyDescent="0.25">
      <c r="A1030" s="36" t="e">
        <f>VLOOKUP($C1030,'Variable Information'!$A$2:$E$480,5,FALSE)</f>
        <v>#N/A</v>
      </c>
      <c r="B1030" s="36" t="e">
        <f>VLOOKUP($C1030,'Variable Information'!$A$1:$C$480,3,FALSE)</f>
        <v>#N/A</v>
      </c>
      <c r="C1030" s="35"/>
      <c r="D1030" s="30" t="s">
        <v>1449</v>
      </c>
      <c r="E1030" s="15" t="s">
        <v>1449</v>
      </c>
    </row>
    <row r="1031" spans="1:5" x14ac:dyDescent="0.25">
      <c r="A1031" s="36" t="e">
        <f>VLOOKUP($C1031,'Variable Information'!$A$2:$E$480,5,FALSE)</f>
        <v>#N/A</v>
      </c>
      <c r="B1031" s="36" t="e">
        <f>VLOOKUP($C1031,'Variable Information'!$A$1:$C$480,3,FALSE)</f>
        <v>#N/A</v>
      </c>
      <c r="C1031" s="35"/>
      <c r="D1031" s="30" t="s">
        <v>1451</v>
      </c>
      <c r="E1031" s="15" t="s">
        <v>1451</v>
      </c>
    </row>
    <row r="1032" spans="1:5" x14ac:dyDescent="0.25">
      <c r="A1032" s="36" t="e">
        <f>VLOOKUP($C1032,'Variable Information'!$A$2:$E$480,5,FALSE)</f>
        <v>#N/A</v>
      </c>
      <c r="B1032" s="36" t="e">
        <f>VLOOKUP($C1032,'Variable Information'!$A$1:$C$480,3,FALSE)</f>
        <v>#N/A</v>
      </c>
      <c r="C1032" s="35"/>
      <c r="D1032" s="30" t="s">
        <v>1456</v>
      </c>
      <c r="E1032" s="15" t="s">
        <v>1456</v>
      </c>
    </row>
    <row r="1033" spans="1:5" x14ac:dyDescent="0.25">
      <c r="A1033" s="36" t="e">
        <f>VLOOKUP($C1033,'Variable Information'!$A$2:$E$480,5,FALSE)</f>
        <v>#N/A</v>
      </c>
      <c r="B1033" s="36" t="e">
        <f>VLOOKUP($C1033,'Variable Information'!$A$1:$C$480,3,FALSE)</f>
        <v>#N/A</v>
      </c>
      <c r="C1033" s="35"/>
      <c r="D1033" s="30" t="s">
        <v>1458</v>
      </c>
      <c r="E1033" s="15" t="s">
        <v>1458</v>
      </c>
    </row>
    <row r="1034" spans="1:5" x14ac:dyDescent="0.25">
      <c r="A1034" s="36" t="e">
        <f>VLOOKUP($C1034,'Variable Information'!$A$2:$E$480,5,FALSE)</f>
        <v>#N/A</v>
      </c>
      <c r="B1034" s="36" t="e">
        <f>VLOOKUP($C1034,'Variable Information'!$A$1:$C$480,3,FALSE)</f>
        <v>#N/A</v>
      </c>
      <c r="C1034" s="35"/>
      <c r="D1034" s="30" t="s">
        <v>1460</v>
      </c>
      <c r="E1034" s="15" t="s">
        <v>1460</v>
      </c>
    </row>
    <row r="1035" spans="1:5" x14ac:dyDescent="0.25">
      <c r="A1035" s="36" t="e">
        <f>VLOOKUP($C1035,'Variable Information'!$A$2:$E$480,5,FALSE)</f>
        <v>#N/A</v>
      </c>
      <c r="B1035" s="36" t="e">
        <f>VLOOKUP($C1035,'Variable Information'!$A$1:$C$480,3,FALSE)</f>
        <v>#N/A</v>
      </c>
      <c r="C1035" s="35"/>
      <c r="D1035" s="30" t="s">
        <v>1462</v>
      </c>
      <c r="E1035" s="15" t="s">
        <v>1462</v>
      </c>
    </row>
    <row r="1036" spans="1:5" x14ac:dyDescent="0.25">
      <c r="A1036" s="36" t="e">
        <f>VLOOKUP($C1036,'Variable Information'!$A$2:$E$480,5,FALSE)</f>
        <v>#N/A</v>
      </c>
      <c r="B1036" s="36" t="e">
        <f>VLOOKUP($C1036,'Variable Information'!$A$1:$C$480,3,FALSE)</f>
        <v>#N/A</v>
      </c>
      <c r="C1036" s="35"/>
      <c r="D1036" s="30" t="s">
        <v>1471</v>
      </c>
      <c r="E1036" s="15" t="s">
        <v>1471</v>
      </c>
    </row>
    <row r="1037" spans="1:5" x14ac:dyDescent="0.25">
      <c r="A1037" s="36" t="e">
        <f>VLOOKUP($C1037,'Variable Information'!$A$2:$E$480,5,FALSE)</f>
        <v>#N/A</v>
      </c>
      <c r="B1037" s="36" t="e">
        <f>VLOOKUP($C1037,'Variable Information'!$A$1:$C$480,3,FALSE)</f>
        <v>#N/A</v>
      </c>
      <c r="C1037" s="35"/>
      <c r="D1037" s="30" t="s">
        <v>1473</v>
      </c>
      <c r="E1037" s="15" t="s">
        <v>1473</v>
      </c>
    </row>
    <row r="1038" spans="1:5" x14ac:dyDescent="0.25">
      <c r="A1038" s="36" t="e">
        <f>VLOOKUP($C1038,'Variable Information'!$A$2:$E$480,5,FALSE)</f>
        <v>#N/A</v>
      </c>
      <c r="B1038" s="36" t="e">
        <f>VLOOKUP($C1038,'Variable Information'!$A$1:$C$480,3,FALSE)</f>
        <v>#N/A</v>
      </c>
      <c r="C1038" s="35"/>
      <c r="D1038" s="30" t="s">
        <v>1475</v>
      </c>
      <c r="E1038" s="15" t="s">
        <v>1475</v>
      </c>
    </row>
    <row r="1039" spans="1:5" x14ac:dyDescent="0.25">
      <c r="A1039" s="36" t="e">
        <f>VLOOKUP($C1039,'Variable Information'!$A$2:$E$480,5,FALSE)</f>
        <v>#N/A</v>
      </c>
      <c r="B1039" s="36" t="e">
        <f>VLOOKUP($C1039,'Variable Information'!$A$1:$C$480,3,FALSE)</f>
        <v>#N/A</v>
      </c>
      <c r="C1039" s="35"/>
      <c r="D1039" s="30" t="s">
        <v>1477</v>
      </c>
      <c r="E1039" s="15" t="s">
        <v>1477</v>
      </c>
    </row>
    <row r="1040" spans="1:5" x14ac:dyDescent="0.25">
      <c r="A1040" s="36" t="e">
        <f>VLOOKUP($C1040,'Variable Information'!$A$2:$E$480,5,FALSE)</f>
        <v>#N/A</v>
      </c>
      <c r="B1040" s="36" t="e">
        <f>VLOOKUP($C1040,'Variable Information'!$A$1:$C$480,3,FALSE)</f>
        <v>#N/A</v>
      </c>
      <c r="C1040" s="35"/>
      <c r="D1040" s="30" t="s">
        <v>1503</v>
      </c>
      <c r="E1040" s="15" t="s">
        <v>1503</v>
      </c>
    </row>
    <row r="1041" spans="1:5" x14ac:dyDescent="0.25">
      <c r="A1041" s="36" t="e">
        <f>VLOOKUP($C1041,'Variable Information'!$A$2:$E$480,5,FALSE)</f>
        <v>#N/A</v>
      </c>
      <c r="B1041" s="36" t="e">
        <f>VLOOKUP($C1041,'Variable Information'!$A$1:$C$480,3,FALSE)</f>
        <v>#N/A</v>
      </c>
      <c r="C1041" s="35"/>
      <c r="D1041" s="30" t="s">
        <v>1524</v>
      </c>
      <c r="E1041" s="15" t="s">
        <v>1524</v>
      </c>
    </row>
    <row r="1042" spans="1:5" x14ac:dyDescent="0.25">
      <c r="A1042" s="36" t="str">
        <f>VLOOKUP($C1042,'Variable Information'!$A$2:$E$480,5,FALSE)</f>
        <v>AJP_J4_rank</v>
      </c>
      <c r="B1042" s="36" t="str">
        <f>VLOOKUP($C1042,'Variable Information'!$A$1:$C$480,3,FALSE)</f>
        <v>Q23_4_10_4. Issue ranking - Issues with obtaining education</v>
      </c>
      <c r="C1042" s="35" t="s">
        <v>521</v>
      </c>
      <c r="D1042" s="30" t="s">
        <v>1447</v>
      </c>
      <c r="E1042" s="15" t="s">
        <v>1447</v>
      </c>
    </row>
    <row r="1043" spans="1:5" x14ac:dyDescent="0.25">
      <c r="A1043" s="36" t="e">
        <f>VLOOKUP($C1043,'Variable Information'!$A$2:$E$480,5,FALSE)</f>
        <v>#N/A</v>
      </c>
      <c r="B1043" s="36" t="e">
        <f>VLOOKUP($C1043,'Variable Information'!$A$1:$C$480,3,FALSE)</f>
        <v>#N/A</v>
      </c>
      <c r="C1043" s="35"/>
      <c r="D1043" s="30" t="s">
        <v>1449</v>
      </c>
      <c r="E1043" s="15" t="s">
        <v>1449</v>
      </c>
    </row>
    <row r="1044" spans="1:5" x14ac:dyDescent="0.25">
      <c r="A1044" s="36" t="e">
        <f>VLOOKUP($C1044,'Variable Information'!$A$2:$E$480,5,FALSE)</f>
        <v>#N/A</v>
      </c>
      <c r="B1044" s="36" t="e">
        <f>VLOOKUP($C1044,'Variable Information'!$A$1:$C$480,3,FALSE)</f>
        <v>#N/A</v>
      </c>
      <c r="C1044" s="35"/>
      <c r="D1044" s="30" t="s">
        <v>1451</v>
      </c>
      <c r="E1044" s="15" t="s">
        <v>1451</v>
      </c>
    </row>
    <row r="1045" spans="1:5" x14ac:dyDescent="0.25">
      <c r="A1045" s="36" t="e">
        <f>VLOOKUP($C1045,'Variable Information'!$A$2:$E$480,5,FALSE)</f>
        <v>#N/A</v>
      </c>
      <c r="B1045" s="36" t="e">
        <f>VLOOKUP($C1045,'Variable Information'!$A$1:$C$480,3,FALSE)</f>
        <v>#N/A</v>
      </c>
      <c r="C1045" s="35"/>
      <c r="D1045" s="30" t="s">
        <v>1456</v>
      </c>
      <c r="E1045" s="15" t="s">
        <v>1456</v>
      </c>
    </row>
    <row r="1046" spans="1:5" x14ac:dyDescent="0.25">
      <c r="A1046" s="36" t="e">
        <f>VLOOKUP($C1046,'Variable Information'!$A$2:$E$480,5,FALSE)</f>
        <v>#N/A</v>
      </c>
      <c r="B1046" s="36" t="e">
        <f>VLOOKUP($C1046,'Variable Information'!$A$1:$C$480,3,FALSE)</f>
        <v>#N/A</v>
      </c>
      <c r="C1046" s="35"/>
      <c r="D1046" s="30" t="s">
        <v>1458</v>
      </c>
      <c r="E1046" s="15" t="s">
        <v>1458</v>
      </c>
    </row>
    <row r="1047" spans="1:5" x14ac:dyDescent="0.25">
      <c r="A1047" s="36" t="e">
        <f>VLOOKUP($C1047,'Variable Information'!$A$2:$E$480,5,FALSE)</f>
        <v>#N/A</v>
      </c>
      <c r="B1047" s="36" t="e">
        <f>VLOOKUP($C1047,'Variable Information'!$A$1:$C$480,3,FALSE)</f>
        <v>#N/A</v>
      </c>
      <c r="C1047" s="35"/>
      <c r="D1047" s="30" t="s">
        <v>1460</v>
      </c>
      <c r="E1047" s="15" t="s">
        <v>1460</v>
      </c>
    </row>
    <row r="1048" spans="1:5" x14ac:dyDescent="0.25">
      <c r="A1048" s="36" t="e">
        <f>VLOOKUP($C1048,'Variable Information'!$A$2:$E$480,5,FALSE)</f>
        <v>#N/A</v>
      </c>
      <c r="B1048" s="36" t="e">
        <f>VLOOKUP($C1048,'Variable Information'!$A$1:$C$480,3,FALSE)</f>
        <v>#N/A</v>
      </c>
      <c r="C1048" s="35"/>
      <c r="D1048" s="30" t="s">
        <v>1462</v>
      </c>
      <c r="E1048" s="15" t="s">
        <v>1462</v>
      </c>
    </row>
    <row r="1049" spans="1:5" x14ac:dyDescent="0.25">
      <c r="A1049" s="36" t="e">
        <f>VLOOKUP($C1049,'Variable Information'!$A$2:$E$480,5,FALSE)</f>
        <v>#N/A</v>
      </c>
      <c r="B1049" s="36" t="e">
        <f>VLOOKUP($C1049,'Variable Information'!$A$1:$C$480,3,FALSE)</f>
        <v>#N/A</v>
      </c>
      <c r="C1049" s="35"/>
      <c r="D1049" s="30" t="s">
        <v>1471</v>
      </c>
      <c r="E1049" s="15" t="s">
        <v>1471</v>
      </c>
    </row>
    <row r="1050" spans="1:5" x14ac:dyDescent="0.25">
      <c r="A1050" s="36" t="e">
        <f>VLOOKUP($C1050,'Variable Information'!$A$2:$E$480,5,FALSE)</f>
        <v>#N/A</v>
      </c>
      <c r="B1050" s="36" t="e">
        <f>VLOOKUP($C1050,'Variable Information'!$A$1:$C$480,3,FALSE)</f>
        <v>#N/A</v>
      </c>
      <c r="C1050" s="35"/>
      <c r="D1050" s="30" t="s">
        <v>1473</v>
      </c>
      <c r="E1050" s="15" t="s">
        <v>1473</v>
      </c>
    </row>
    <row r="1051" spans="1:5" x14ac:dyDescent="0.25">
      <c r="A1051" s="36" t="e">
        <f>VLOOKUP($C1051,'Variable Information'!$A$2:$E$480,5,FALSE)</f>
        <v>#N/A</v>
      </c>
      <c r="B1051" s="36" t="e">
        <f>VLOOKUP($C1051,'Variable Information'!$A$1:$C$480,3,FALSE)</f>
        <v>#N/A</v>
      </c>
      <c r="C1051" s="35"/>
      <c r="D1051" s="30" t="s">
        <v>1475</v>
      </c>
      <c r="E1051" s="15" t="s">
        <v>1475</v>
      </c>
    </row>
    <row r="1052" spans="1:5" x14ac:dyDescent="0.25">
      <c r="A1052" s="36" t="e">
        <f>VLOOKUP($C1052,'Variable Information'!$A$2:$E$480,5,FALSE)</f>
        <v>#N/A</v>
      </c>
      <c r="B1052" s="36" t="e">
        <f>VLOOKUP($C1052,'Variable Information'!$A$1:$C$480,3,FALSE)</f>
        <v>#N/A</v>
      </c>
      <c r="C1052" s="35"/>
      <c r="D1052" s="30" t="s">
        <v>1477</v>
      </c>
      <c r="E1052" s="15" t="s">
        <v>1477</v>
      </c>
    </row>
    <row r="1053" spans="1:5" x14ac:dyDescent="0.25">
      <c r="A1053" s="36" t="e">
        <f>VLOOKUP($C1053,'Variable Information'!$A$2:$E$480,5,FALSE)</f>
        <v>#N/A</v>
      </c>
      <c r="B1053" s="36" t="e">
        <f>VLOOKUP($C1053,'Variable Information'!$A$1:$C$480,3,FALSE)</f>
        <v>#N/A</v>
      </c>
      <c r="C1053" s="35"/>
      <c r="D1053" s="30" t="s">
        <v>1503</v>
      </c>
      <c r="E1053" s="15" t="s">
        <v>1503</v>
      </c>
    </row>
    <row r="1054" spans="1:5" x14ac:dyDescent="0.25">
      <c r="A1054" s="36" t="e">
        <f>VLOOKUP($C1054,'Variable Information'!$A$2:$E$480,5,FALSE)</f>
        <v>#N/A</v>
      </c>
      <c r="B1054" s="36" t="e">
        <f>VLOOKUP($C1054,'Variable Information'!$A$1:$C$480,3,FALSE)</f>
        <v>#N/A</v>
      </c>
      <c r="C1054" s="35"/>
      <c r="D1054" s="30" t="s">
        <v>1524</v>
      </c>
      <c r="E1054" s="15" t="s">
        <v>1524</v>
      </c>
    </row>
    <row r="1055" spans="1:5" x14ac:dyDescent="0.25">
      <c r="A1055" s="36" t="str">
        <f>VLOOKUP($C1055,'Variable Information'!$A$2:$E$480,5,FALSE)</f>
        <v>AJP_K1_rank</v>
      </c>
      <c r="B1055" s="36" t="str">
        <f>VLOOKUP($C1055,'Variable Information'!$A$1:$C$480,3,FALSE)</f>
        <v>Q23_4_11_1. Issue ranking - Product/purchases not delivered or significantly delayed</v>
      </c>
      <c r="C1055" s="35" t="s">
        <v>524</v>
      </c>
      <c r="D1055" s="30" t="s">
        <v>1447</v>
      </c>
      <c r="E1055" s="15" t="s">
        <v>1447</v>
      </c>
    </row>
    <row r="1056" spans="1:5" x14ac:dyDescent="0.25">
      <c r="A1056" s="36" t="e">
        <f>VLOOKUP($C1056,'Variable Information'!$A$2:$E$480,5,FALSE)</f>
        <v>#N/A</v>
      </c>
      <c r="B1056" s="36" t="e">
        <f>VLOOKUP($C1056,'Variable Information'!$A$1:$C$480,3,FALSE)</f>
        <v>#N/A</v>
      </c>
      <c r="C1056" s="35"/>
      <c r="D1056" s="30" t="s">
        <v>1449</v>
      </c>
      <c r="E1056" s="15" t="s">
        <v>1449</v>
      </c>
    </row>
    <row r="1057" spans="1:5" x14ac:dyDescent="0.25">
      <c r="A1057" s="36" t="e">
        <f>VLOOKUP($C1057,'Variable Information'!$A$2:$E$480,5,FALSE)</f>
        <v>#N/A</v>
      </c>
      <c r="B1057" s="36" t="e">
        <f>VLOOKUP($C1057,'Variable Information'!$A$1:$C$480,3,FALSE)</f>
        <v>#N/A</v>
      </c>
      <c r="C1057" s="35"/>
      <c r="D1057" s="30" t="s">
        <v>1451</v>
      </c>
      <c r="E1057" s="15" t="s">
        <v>1451</v>
      </c>
    </row>
    <row r="1058" spans="1:5" x14ac:dyDescent="0.25">
      <c r="A1058" s="36" t="e">
        <f>VLOOKUP($C1058,'Variable Information'!$A$2:$E$480,5,FALSE)</f>
        <v>#N/A</v>
      </c>
      <c r="B1058" s="36" t="e">
        <f>VLOOKUP($C1058,'Variable Information'!$A$1:$C$480,3,FALSE)</f>
        <v>#N/A</v>
      </c>
      <c r="C1058" s="35"/>
      <c r="D1058" s="30" t="s">
        <v>1456</v>
      </c>
      <c r="E1058" s="15" t="s">
        <v>1456</v>
      </c>
    </row>
    <row r="1059" spans="1:5" x14ac:dyDescent="0.25">
      <c r="A1059" s="36" t="e">
        <f>VLOOKUP($C1059,'Variable Information'!$A$2:$E$480,5,FALSE)</f>
        <v>#N/A</v>
      </c>
      <c r="B1059" s="36" t="e">
        <f>VLOOKUP($C1059,'Variable Information'!$A$1:$C$480,3,FALSE)</f>
        <v>#N/A</v>
      </c>
      <c r="C1059" s="35"/>
      <c r="D1059" s="30" t="s">
        <v>1458</v>
      </c>
      <c r="E1059" s="15" t="s">
        <v>1458</v>
      </c>
    </row>
    <row r="1060" spans="1:5" x14ac:dyDescent="0.25">
      <c r="A1060" s="36" t="e">
        <f>VLOOKUP($C1060,'Variable Information'!$A$2:$E$480,5,FALSE)</f>
        <v>#N/A</v>
      </c>
      <c r="B1060" s="36" t="e">
        <f>VLOOKUP($C1060,'Variable Information'!$A$1:$C$480,3,FALSE)</f>
        <v>#N/A</v>
      </c>
      <c r="C1060" s="35"/>
      <c r="D1060" s="30" t="s">
        <v>1460</v>
      </c>
      <c r="E1060" s="15" t="s">
        <v>1460</v>
      </c>
    </row>
    <row r="1061" spans="1:5" x14ac:dyDescent="0.25">
      <c r="A1061" s="36" t="e">
        <f>VLOOKUP($C1061,'Variable Information'!$A$2:$E$480,5,FALSE)</f>
        <v>#N/A</v>
      </c>
      <c r="B1061" s="36" t="e">
        <f>VLOOKUP($C1061,'Variable Information'!$A$1:$C$480,3,FALSE)</f>
        <v>#N/A</v>
      </c>
      <c r="C1061" s="35"/>
      <c r="D1061" s="30" t="s">
        <v>1462</v>
      </c>
      <c r="E1061" s="15" t="s">
        <v>1462</v>
      </c>
    </row>
    <row r="1062" spans="1:5" x14ac:dyDescent="0.25">
      <c r="A1062" s="36" t="e">
        <f>VLOOKUP($C1062,'Variable Information'!$A$2:$E$480,5,FALSE)</f>
        <v>#N/A</v>
      </c>
      <c r="B1062" s="36" t="e">
        <f>VLOOKUP($C1062,'Variable Information'!$A$1:$C$480,3,FALSE)</f>
        <v>#N/A</v>
      </c>
      <c r="C1062" s="35"/>
      <c r="D1062" s="30" t="s">
        <v>1471</v>
      </c>
      <c r="E1062" s="15" t="s">
        <v>1471</v>
      </c>
    </row>
    <row r="1063" spans="1:5" x14ac:dyDescent="0.25">
      <c r="A1063" s="36" t="e">
        <f>VLOOKUP($C1063,'Variable Information'!$A$2:$E$480,5,FALSE)</f>
        <v>#N/A</v>
      </c>
      <c r="B1063" s="36" t="e">
        <f>VLOOKUP($C1063,'Variable Information'!$A$1:$C$480,3,FALSE)</f>
        <v>#N/A</v>
      </c>
      <c r="C1063" s="35"/>
      <c r="D1063" s="30" t="s">
        <v>1473</v>
      </c>
      <c r="E1063" s="15" t="s">
        <v>1473</v>
      </c>
    </row>
    <row r="1064" spans="1:5" x14ac:dyDescent="0.25">
      <c r="A1064" s="36" t="e">
        <f>VLOOKUP($C1064,'Variable Information'!$A$2:$E$480,5,FALSE)</f>
        <v>#N/A</v>
      </c>
      <c r="B1064" s="36" t="e">
        <f>VLOOKUP($C1064,'Variable Information'!$A$1:$C$480,3,FALSE)</f>
        <v>#N/A</v>
      </c>
      <c r="C1064" s="35"/>
      <c r="D1064" s="30" t="s">
        <v>1475</v>
      </c>
      <c r="E1064" s="15" t="s">
        <v>1475</v>
      </c>
    </row>
    <row r="1065" spans="1:5" x14ac:dyDescent="0.25">
      <c r="A1065" s="36" t="e">
        <f>VLOOKUP($C1065,'Variable Information'!$A$2:$E$480,5,FALSE)</f>
        <v>#N/A</v>
      </c>
      <c r="B1065" s="36" t="e">
        <f>VLOOKUP($C1065,'Variable Information'!$A$1:$C$480,3,FALSE)</f>
        <v>#N/A</v>
      </c>
      <c r="C1065" s="35"/>
      <c r="D1065" s="30" t="s">
        <v>1477</v>
      </c>
      <c r="E1065" s="15" t="s">
        <v>1477</v>
      </c>
    </row>
    <row r="1066" spans="1:5" x14ac:dyDescent="0.25">
      <c r="A1066" s="36" t="e">
        <f>VLOOKUP($C1066,'Variable Information'!$A$2:$E$480,5,FALSE)</f>
        <v>#N/A</v>
      </c>
      <c r="B1066" s="36" t="e">
        <f>VLOOKUP($C1066,'Variable Information'!$A$1:$C$480,3,FALSE)</f>
        <v>#N/A</v>
      </c>
      <c r="C1066" s="35"/>
      <c r="D1066" s="30" t="s">
        <v>1503</v>
      </c>
      <c r="E1066" s="15" t="s">
        <v>1503</v>
      </c>
    </row>
    <row r="1067" spans="1:5" x14ac:dyDescent="0.25">
      <c r="A1067" s="36" t="e">
        <f>VLOOKUP($C1067,'Variable Information'!$A$2:$E$480,5,FALSE)</f>
        <v>#N/A</v>
      </c>
      <c r="B1067" s="36" t="e">
        <f>VLOOKUP($C1067,'Variable Information'!$A$1:$C$480,3,FALSE)</f>
        <v>#N/A</v>
      </c>
      <c r="C1067" s="35"/>
      <c r="D1067" s="30" t="s">
        <v>1524</v>
      </c>
      <c r="E1067" s="15" t="s">
        <v>1524</v>
      </c>
    </row>
    <row r="1068" spans="1:5" x14ac:dyDescent="0.25">
      <c r="A1068" s="36" t="str">
        <f>VLOOKUP($C1068,'Variable Information'!$A$2:$E$480,5,FALSE)</f>
        <v>AJP_K2_rank</v>
      </c>
      <c r="B1068" s="36" t="str">
        <f>VLOOKUP($C1068,'Variable Information'!$A$1:$C$480,3,FALSE)</f>
        <v>Q23_4_11_2. Issue ranking - Difficulty getting refunds repairs or replacements for products that were faulty damaged or not as described</v>
      </c>
      <c r="C1068" s="35" t="s">
        <v>527</v>
      </c>
      <c r="D1068" s="30" t="s">
        <v>1447</v>
      </c>
      <c r="E1068" s="15" t="s">
        <v>1447</v>
      </c>
    </row>
    <row r="1069" spans="1:5" x14ac:dyDescent="0.25">
      <c r="A1069" s="36" t="e">
        <f>VLOOKUP($C1069,'Variable Information'!$A$2:$E$480,5,FALSE)</f>
        <v>#N/A</v>
      </c>
      <c r="B1069" s="36" t="e">
        <f>VLOOKUP($C1069,'Variable Information'!$A$1:$C$480,3,FALSE)</f>
        <v>#N/A</v>
      </c>
      <c r="C1069" s="35"/>
      <c r="D1069" s="30" t="s">
        <v>1449</v>
      </c>
      <c r="E1069" s="15" t="s">
        <v>1449</v>
      </c>
    </row>
    <row r="1070" spans="1:5" x14ac:dyDescent="0.25">
      <c r="A1070" s="36" t="e">
        <f>VLOOKUP($C1070,'Variable Information'!$A$2:$E$480,5,FALSE)</f>
        <v>#N/A</v>
      </c>
      <c r="B1070" s="36" t="e">
        <f>VLOOKUP($C1070,'Variable Information'!$A$1:$C$480,3,FALSE)</f>
        <v>#N/A</v>
      </c>
      <c r="C1070" s="35"/>
      <c r="D1070" s="30" t="s">
        <v>1451</v>
      </c>
      <c r="E1070" s="15" t="s">
        <v>1451</v>
      </c>
    </row>
    <row r="1071" spans="1:5" x14ac:dyDescent="0.25">
      <c r="A1071" s="36" t="e">
        <f>VLOOKUP($C1071,'Variable Information'!$A$2:$E$480,5,FALSE)</f>
        <v>#N/A</v>
      </c>
      <c r="B1071" s="36" t="e">
        <f>VLOOKUP($C1071,'Variable Information'!$A$1:$C$480,3,FALSE)</f>
        <v>#N/A</v>
      </c>
      <c r="C1071" s="35"/>
      <c r="D1071" s="30" t="s">
        <v>1456</v>
      </c>
      <c r="E1071" s="15" t="s">
        <v>1456</v>
      </c>
    </row>
    <row r="1072" spans="1:5" x14ac:dyDescent="0.25">
      <c r="A1072" s="36" t="e">
        <f>VLOOKUP($C1072,'Variable Information'!$A$2:$E$480,5,FALSE)</f>
        <v>#N/A</v>
      </c>
      <c r="B1072" s="36" t="e">
        <f>VLOOKUP($C1072,'Variable Information'!$A$1:$C$480,3,FALSE)</f>
        <v>#N/A</v>
      </c>
      <c r="C1072" s="35"/>
      <c r="D1072" s="30" t="s">
        <v>1458</v>
      </c>
      <c r="E1072" s="15" t="s">
        <v>1458</v>
      </c>
    </row>
    <row r="1073" spans="1:5" x14ac:dyDescent="0.25">
      <c r="A1073" s="36" t="e">
        <f>VLOOKUP($C1073,'Variable Information'!$A$2:$E$480,5,FALSE)</f>
        <v>#N/A</v>
      </c>
      <c r="B1073" s="36" t="e">
        <f>VLOOKUP($C1073,'Variable Information'!$A$1:$C$480,3,FALSE)</f>
        <v>#N/A</v>
      </c>
      <c r="C1073" s="35"/>
      <c r="D1073" s="30" t="s">
        <v>1460</v>
      </c>
      <c r="E1073" s="15" t="s">
        <v>1460</v>
      </c>
    </row>
    <row r="1074" spans="1:5" x14ac:dyDescent="0.25">
      <c r="A1074" s="36" t="e">
        <f>VLOOKUP($C1074,'Variable Information'!$A$2:$E$480,5,FALSE)</f>
        <v>#N/A</v>
      </c>
      <c r="B1074" s="36" t="e">
        <f>VLOOKUP($C1074,'Variable Information'!$A$1:$C$480,3,FALSE)</f>
        <v>#N/A</v>
      </c>
      <c r="C1074" s="35"/>
      <c r="D1074" s="30" t="s">
        <v>1462</v>
      </c>
      <c r="E1074" s="15" t="s">
        <v>1462</v>
      </c>
    </row>
    <row r="1075" spans="1:5" x14ac:dyDescent="0.25">
      <c r="A1075" s="36" t="e">
        <f>VLOOKUP($C1075,'Variable Information'!$A$2:$E$480,5,FALSE)</f>
        <v>#N/A</v>
      </c>
      <c r="B1075" s="36" t="e">
        <f>VLOOKUP($C1075,'Variable Information'!$A$1:$C$480,3,FALSE)</f>
        <v>#N/A</v>
      </c>
      <c r="C1075" s="35"/>
      <c r="D1075" s="30" t="s">
        <v>1471</v>
      </c>
      <c r="E1075" s="15" t="s">
        <v>1471</v>
      </c>
    </row>
    <row r="1076" spans="1:5" x14ac:dyDescent="0.25">
      <c r="A1076" s="36" t="e">
        <f>VLOOKUP($C1076,'Variable Information'!$A$2:$E$480,5,FALSE)</f>
        <v>#N/A</v>
      </c>
      <c r="B1076" s="36" t="e">
        <f>VLOOKUP($C1076,'Variable Information'!$A$1:$C$480,3,FALSE)</f>
        <v>#N/A</v>
      </c>
      <c r="C1076" s="35"/>
      <c r="D1076" s="30" t="s">
        <v>1473</v>
      </c>
      <c r="E1076" s="15" t="s">
        <v>1473</v>
      </c>
    </row>
    <row r="1077" spans="1:5" x14ac:dyDescent="0.25">
      <c r="A1077" s="36" t="e">
        <f>VLOOKUP($C1077,'Variable Information'!$A$2:$E$480,5,FALSE)</f>
        <v>#N/A</v>
      </c>
      <c r="B1077" s="36" t="e">
        <f>VLOOKUP($C1077,'Variable Information'!$A$1:$C$480,3,FALSE)</f>
        <v>#N/A</v>
      </c>
      <c r="C1077" s="35"/>
      <c r="D1077" s="30" t="s">
        <v>1475</v>
      </c>
      <c r="E1077" s="15" t="s">
        <v>1475</v>
      </c>
    </row>
    <row r="1078" spans="1:5" x14ac:dyDescent="0.25">
      <c r="A1078" s="36" t="e">
        <f>VLOOKUP($C1078,'Variable Information'!$A$2:$E$480,5,FALSE)</f>
        <v>#N/A</v>
      </c>
      <c r="B1078" s="36" t="e">
        <f>VLOOKUP($C1078,'Variable Information'!$A$1:$C$480,3,FALSE)</f>
        <v>#N/A</v>
      </c>
      <c r="C1078" s="35"/>
      <c r="D1078" s="30" t="s">
        <v>1477</v>
      </c>
      <c r="E1078" s="15" t="s">
        <v>1477</v>
      </c>
    </row>
    <row r="1079" spans="1:5" x14ac:dyDescent="0.25">
      <c r="A1079" s="36" t="e">
        <f>VLOOKUP($C1079,'Variable Information'!$A$2:$E$480,5,FALSE)</f>
        <v>#N/A</v>
      </c>
      <c r="B1079" s="36" t="e">
        <f>VLOOKUP($C1079,'Variable Information'!$A$1:$C$480,3,FALSE)</f>
        <v>#N/A</v>
      </c>
      <c r="C1079" s="35"/>
      <c r="D1079" s="30" t="s">
        <v>1503</v>
      </c>
      <c r="E1079" s="15" t="s">
        <v>1503</v>
      </c>
    </row>
    <row r="1080" spans="1:5" x14ac:dyDescent="0.25">
      <c r="A1080" s="36" t="e">
        <f>VLOOKUP($C1080,'Variable Information'!$A$2:$E$480,5,FALSE)</f>
        <v>#N/A</v>
      </c>
      <c r="B1080" s="36" t="e">
        <f>VLOOKUP($C1080,'Variable Information'!$A$1:$C$480,3,FALSE)</f>
        <v>#N/A</v>
      </c>
      <c r="C1080" s="35"/>
      <c r="D1080" s="30" t="s">
        <v>1524</v>
      </c>
      <c r="E1080" s="15" t="s">
        <v>1524</v>
      </c>
    </row>
    <row r="1081" spans="1:5" x14ac:dyDescent="0.25">
      <c r="A1081" s="36" t="str">
        <f>VLOOKUP($C1081,'Variable Information'!$A$2:$E$480,5,FALSE)</f>
        <v>AJP_L1_rank</v>
      </c>
      <c r="B1081" s="36" t="str">
        <f>VLOOKUP($C1081,'Variable Information'!$A$1:$C$480,3,FALSE)</f>
        <v>Q23_4_12_1. Issue ranking - Issues with over-charging or hidden or unexpected fees</v>
      </c>
      <c r="C1081" s="35" t="s">
        <v>530</v>
      </c>
      <c r="D1081" s="30" t="s">
        <v>1447</v>
      </c>
      <c r="E1081" s="15" t="s">
        <v>1447</v>
      </c>
    </row>
    <row r="1082" spans="1:5" x14ac:dyDescent="0.25">
      <c r="A1082" s="36" t="e">
        <f>VLOOKUP($C1082,'Variable Information'!$A$2:$E$480,5,FALSE)</f>
        <v>#N/A</v>
      </c>
      <c r="B1082" s="36" t="e">
        <f>VLOOKUP($C1082,'Variable Information'!$A$1:$C$480,3,FALSE)</f>
        <v>#N/A</v>
      </c>
      <c r="C1082" s="35"/>
      <c r="D1082" s="30" t="s">
        <v>1449</v>
      </c>
      <c r="E1082" s="15" t="s">
        <v>1449</v>
      </c>
    </row>
    <row r="1083" spans="1:5" x14ac:dyDescent="0.25">
      <c r="A1083" s="36" t="e">
        <f>VLOOKUP($C1083,'Variable Information'!$A$2:$E$480,5,FALSE)</f>
        <v>#N/A</v>
      </c>
      <c r="B1083" s="36" t="e">
        <f>VLOOKUP($C1083,'Variable Information'!$A$1:$C$480,3,FALSE)</f>
        <v>#N/A</v>
      </c>
      <c r="C1083" s="35"/>
      <c r="D1083" s="30" t="s">
        <v>1451</v>
      </c>
      <c r="E1083" s="15" t="s">
        <v>1451</v>
      </c>
    </row>
    <row r="1084" spans="1:5" x14ac:dyDescent="0.25">
      <c r="A1084" s="36" t="e">
        <f>VLOOKUP($C1084,'Variable Information'!$A$2:$E$480,5,FALSE)</f>
        <v>#N/A</v>
      </c>
      <c r="B1084" s="36" t="e">
        <f>VLOOKUP($C1084,'Variable Information'!$A$1:$C$480,3,FALSE)</f>
        <v>#N/A</v>
      </c>
      <c r="C1084" s="35"/>
      <c r="D1084" s="30" t="s">
        <v>1456</v>
      </c>
      <c r="E1084" s="15" t="s">
        <v>1456</v>
      </c>
    </row>
    <row r="1085" spans="1:5" x14ac:dyDescent="0.25">
      <c r="A1085" s="36" t="e">
        <f>VLOOKUP($C1085,'Variable Information'!$A$2:$E$480,5,FALSE)</f>
        <v>#N/A</v>
      </c>
      <c r="B1085" s="36" t="e">
        <f>VLOOKUP($C1085,'Variable Information'!$A$1:$C$480,3,FALSE)</f>
        <v>#N/A</v>
      </c>
      <c r="C1085" s="35"/>
      <c r="D1085" s="30" t="s">
        <v>1458</v>
      </c>
      <c r="E1085" s="15" t="s">
        <v>1458</v>
      </c>
    </row>
    <row r="1086" spans="1:5" x14ac:dyDescent="0.25">
      <c r="A1086" s="36" t="e">
        <f>VLOOKUP($C1086,'Variable Information'!$A$2:$E$480,5,FALSE)</f>
        <v>#N/A</v>
      </c>
      <c r="B1086" s="36" t="e">
        <f>VLOOKUP($C1086,'Variable Information'!$A$1:$C$480,3,FALSE)</f>
        <v>#N/A</v>
      </c>
      <c r="C1086" s="35"/>
      <c r="D1086" s="30" t="s">
        <v>1460</v>
      </c>
      <c r="E1086" s="15" t="s">
        <v>1460</v>
      </c>
    </row>
    <row r="1087" spans="1:5" x14ac:dyDescent="0.25">
      <c r="A1087" s="36" t="e">
        <f>VLOOKUP($C1087,'Variable Information'!$A$2:$E$480,5,FALSE)</f>
        <v>#N/A</v>
      </c>
      <c r="B1087" s="36" t="e">
        <f>VLOOKUP($C1087,'Variable Information'!$A$1:$C$480,3,FALSE)</f>
        <v>#N/A</v>
      </c>
      <c r="C1087" s="35"/>
      <c r="D1087" s="30" t="s">
        <v>1462</v>
      </c>
      <c r="E1087" s="15" t="s">
        <v>1462</v>
      </c>
    </row>
    <row r="1088" spans="1:5" x14ac:dyDescent="0.25">
      <c r="A1088" s="36" t="e">
        <f>VLOOKUP($C1088,'Variable Information'!$A$2:$E$480,5,FALSE)</f>
        <v>#N/A</v>
      </c>
      <c r="B1088" s="36" t="e">
        <f>VLOOKUP($C1088,'Variable Information'!$A$1:$C$480,3,FALSE)</f>
        <v>#N/A</v>
      </c>
      <c r="C1088" s="35"/>
      <c r="D1088" s="30" t="s">
        <v>1471</v>
      </c>
      <c r="E1088" s="15" t="s">
        <v>1471</v>
      </c>
    </row>
    <row r="1089" spans="1:5" x14ac:dyDescent="0.25">
      <c r="A1089" s="36" t="e">
        <f>VLOOKUP($C1089,'Variable Information'!$A$2:$E$480,5,FALSE)</f>
        <v>#N/A</v>
      </c>
      <c r="B1089" s="36" t="e">
        <f>VLOOKUP($C1089,'Variable Information'!$A$1:$C$480,3,FALSE)</f>
        <v>#N/A</v>
      </c>
      <c r="C1089" s="35"/>
      <c r="D1089" s="30" t="s">
        <v>1473</v>
      </c>
      <c r="E1089" s="15" t="s">
        <v>1473</v>
      </c>
    </row>
    <row r="1090" spans="1:5" x14ac:dyDescent="0.25">
      <c r="A1090" s="36" t="e">
        <f>VLOOKUP($C1090,'Variable Information'!$A$2:$E$480,5,FALSE)</f>
        <v>#N/A</v>
      </c>
      <c r="B1090" s="36" t="e">
        <f>VLOOKUP($C1090,'Variable Information'!$A$1:$C$480,3,FALSE)</f>
        <v>#N/A</v>
      </c>
      <c r="C1090" s="35"/>
      <c r="D1090" s="30" t="s">
        <v>1475</v>
      </c>
      <c r="E1090" s="15" t="s">
        <v>1475</v>
      </c>
    </row>
    <row r="1091" spans="1:5" x14ac:dyDescent="0.25">
      <c r="A1091" s="36" t="e">
        <f>VLOOKUP($C1091,'Variable Information'!$A$2:$E$480,5,FALSE)</f>
        <v>#N/A</v>
      </c>
      <c r="B1091" s="36" t="e">
        <f>VLOOKUP($C1091,'Variable Information'!$A$1:$C$480,3,FALSE)</f>
        <v>#N/A</v>
      </c>
      <c r="C1091" s="35"/>
      <c r="D1091" s="30" t="s">
        <v>1477</v>
      </c>
      <c r="E1091" s="15" t="s">
        <v>1477</v>
      </c>
    </row>
    <row r="1092" spans="1:5" x14ac:dyDescent="0.25">
      <c r="A1092" s="36" t="e">
        <f>VLOOKUP($C1092,'Variable Information'!$A$2:$E$480,5,FALSE)</f>
        <v>#N/A</v>
      </c>
      <c r="B1092" s="36" t="e">
        <f>VLOOKUP($C1092,'Variable Information'!$A$1:$C$480,3,FALSE)</f>
        <v>#N/A</v>
      </c>
      <c r="C1092" s="35"/>
      <c r="D1092" s="30" t="s">
        <v>1503</v>
      </c>
      <c r="E1092" s="15" t="s">
        <v>1503</v>
      </c>
    </row>
    <row r="1093" spans="1:5" x14ac:dyDescent="0.25">
      <c r="A1093" s="36" t="e">
        <f>VLOOKUP($C1093,'Variable Information'!$A$2:$E$480,5,FALSE)</f>
        <v>#N/A</v>
      </c>
      <c r="B1093" s="36" t="e">
        <f>VLOOKUP($C1093,'Variable Information'!$A$1:$C$480,3,FALSE)</f>
        <v>#N/A</v>
      </c>
      <c r="C1093" s="35"/>
      <c r="D1093" s="30" t="s">
        <v>1524</v>
      </c>
      <c r="E1093" s="15" t="s">
        <v>1524</v>
      </c>
    </row>
    <row r="1094" spans="1:5" x14ac:dyDescent="0.25">
      <c r="A1094" s="36" t="str">
        <f>VLOOKUP($C1094,'Variable Information'!$A$2:$E$480,5,FALSE)</f>
        <v>AJP_L2_rank</v>
      </c>
      <c r="B1094" s="36" t="str">
        <f>VLOOKUP($C1094,'Variable Information'!$A$1:$C$480,3,FALSE)</f>
        <v>Q23_4_12_2. Issue ranking - Issues with quality of services or other service-related disputes</v>
      </c>
      <c r="C1094" s="35" t="s">
        <v>533</v>
      </c>
      <c r="D1094" s="30" t="s">
        <v>1447</v>
      </c>
      <c r="E1094" s="15" t="s">
        <v>1447</v>
      </c>
    </row>
    <row r="1095" spans="1:5" x14ac:dyDescent="0.25">
      <c r="A1095" s="36" t="e">
        <f>VLOOKUP($C1095,'Variable Information'!$A$2:$E$480,5,FALSE)</f>
        <v>#N/A</v>
      </c>
      <c r="B1095" s="36" t="e">
        <f>VLOOKUP($C1095,'Variable Information'!$A$1:$C$480,3,FALSE)</f>
        <v>#N/A</v>
      </c>
      <c r="C1095" s="35"/>
      <c r="D1095" s="30" t="s">
        <v>1449</v>
      </c>
      <c r="E1095" s="15" t="s">
        <v>1449</v>
      </c>
    </row>
    <row r="1096" spans="1:5" x14ac:dyDescent="0.25">
      <c r="A1096" s="36" t="e">
        <f>VLOOKUP($C1096,'Variable Information'!$A$2:$E$480,5,FALSE)</f>
        <v>#N/A</v>
      </c>
      <c r="B1096" s="36" t="e">
        <f>VLOOKUP($C1096,'Variable Information'!$A$1:$C$480,3,FALSE)</f>
        <v>#N/A</v>
      </c>
      <c r="C1096" s="35"/>
      <c r="D1096" s="30" t="s">
        <v>1451</v>
      </c>
      <c r="E1096" s="15" t="s">
        <v>1451</v>
      </c>
    </row>
    <row r="1097" spans="1:5" x14ac:dyDescent="0.25">
      <c r="A1097" s="36" t="e">
        <f>VLOOKUP($C1097,'Variable Information'!$A$2:$E$480,5,FALSE)</f>
        <v>#N/A</v>
      </c>
      <c r="B1097" s="36" t="e">
        <f>VLOOKUP($C1097,'Variable Information'!$A$1:$C$480,3,FALSE)</f>
        <v>#N/A</v>
      </c>
      <c r="C1097" s="35"/>
      <c r="D1097" s="30" t="s">
        <v>1456</v>
      </c>
      <c r="E1097" s="15" t="s">
        <v>1456</v>
      </c>
    </row>
    <row r="1098" spans="1:5" x14ac:dyDescent="0.25">
      <c r="A1098" s="36" t="e">
        <f>VLOOKUP($C1098,'Variable Information'!$A$2:$E$480,5,FALSE)</f>
        <v>#N/A</v>
      </c>
      <c r="B1098" s="36" t="e">
        <f>VLOOKUP($C1098,'Variable Information'!$A$1:$C$480,3,FALSE)</f>
        <v>#N/A</v>
      </c>
      <c r="C1098" s="35"/>
      <c r="D1098" s="30" t="s">
        <v>1458</v>
      </c>
      <c r="E1098" s="15" t="s">
        <v>1458</v>
      </c>
    </row>
    <row r="1099" spans="1:5" x14ac:dyDescent="0.25">
      <c r="A1099" s="36" t="e">
        <f>VLOOKUP($C1099,'Variable Information'!$A$2:$E$480,5,FALSE)</f>
        <v>#N/A</v>
      </c>
      <c r="B1099" s="36" t="e">
        <f>VLOOKUP($C1099,'Variable Information'!$A$1:$C$480,3,FALSE)</f>
        <v>#N/A</v>
      </c>
      <c r="C1099" s="35"/>
      <c r="D1099" s="30" t="s">
        <v>1460</v>
      </c>
      <c r="E1099" s="15" t="s">
        <v>1460</v>
      </c>
    </row>
    <row r="1100" spans="1:5" x14ac:dyDescent="0.25">
      <c r="A1100" s="36" t="e">
        <f>VLOOKUP($C1100,'Variable Information'!$A$2:$E$480,5,FALSE)</f>
        <v>#N/A</v>
      </c>
      <c r="B1100" s="36" t="e">
        <f>VLOOKUP($C1100,'Variable Information'!$A$1:$C$480,3,FALSE)</f>
        <v>#N/A</v>
      </c>
      <c r="C1100" s="35"/>
      <c r="D1100" s="30" t="s">
        <v>1462</v>
      </c>
      <c r="E1100" s="15" t="s">
        <v>1462</v>
      </c>
    </row>
    <row r="1101" spans="1:5" x14ac:dyDescent="0.25">
      <c r="A1101" s="36" t="e">
        <f>VLOOKUP($C1101,'Variable Information'!$A$2:$E$480,5,FALSE)</f>
        <v>#N/A</v>
      </c>
      <c r="B1101" s="36" t="e">
        <f>VLOOKUP($C1101,'Variable Information'!$A$1:$C$480,3,FALSE)</f>
        <v>#N/A</v>
      </c>
      <c r="C1101" s="35"/>
      <c r="D1101" s="30" t="s">
        <v>1471</v>
      </c>
      <c r="E1101" s="15" t="s">
        <v>1471</v>
      </c>
    </row>
    <row r="1102" spans="1:5" x14ac:dyDescent="0.25">
      <c r="A1102" s="36" t="e">
        <f>VLOOKUP($C1102,'Variable Information'!$A$2:$E$480,5,FALSE)</f>
        <v>#N/A</v>
      </c>
      <c r="B1102" s="36" t="e">
        <f>VLOOKUP($C1102,'Variable Information'!$A$1:$C$480,3,FALSE)</f>
        <v>#N/A</v>
      </c>
      <c r="C1102" s="35"/>
      <c r="D1102" s="30" t="s">
        <v>1473</v>
      </c>
      <c r="E1102" s="15" t="s">
        <v>1473</v>
      </c>
    </row>
    <row r="1103" spans="1:5" x14ac:dyDescent="0.25">
      <c r="A1103" s="36" t="e">
        <f>VLOOKUP($C1103,'Variable Information'!$A$2:$E$480,5,FALSE)</f>
        <v>#N/A</v>
      </c>
      <c r="B1103" s="36" t="e">
        <f>VLOOKUP($C1103,'Variable Information'!$A$1:$C$480,3,FALSE)</f>
        <v>#N/A</v>
      </c>
      <c r="C1103" s="35"/>
      <c r="D1103" s="30" t="s">
        <v>1475</v>
      </c>
      <c r="E1103" s="15" t="s">
        <v>1475</v>
      </c>
    </row>
    <row r="1104" spans="1:5" x14ac:dyDescent="0.25">
      <c r="A1104" s="36" t="e">
        <f>VLOOKUP($C1104,'Variable Information'!$A$2:$E$480,5,FALSE)</f>
        <v>#N/A</v>
      </c>
      <c r="B1104" s="36" t="e">
        <f>VLOOKUP($C1104,'Variable Information'!$A$1:$C$480,3,FALSE)</f>
        <v>#N/A</v>
      </c>
      <c r="C1104" s="35"/>
      <c r="D1104" s="30" t="s">
        <v>1477</v>
      </c>
      <c r="E1104" s="15" t="s">
        <v>1477</v>
      </c>
    </row>
    <row r="1105" spans="1:5" x14ac:dyDescent="0.25">
      <c r="A1105" s="36" t="e">
        <f>VLOOKUP($C1105,'Variable Information'!$A$2:$E$480,5,FALSE)</f>
        <v>#N/A</v>
      </c>
      <c r="B1105" s="36" t="e">
        <f>VLOOKUP($C1105,'Variable Information'!$A$1:$C$480,3,FALSE)</f>
        <v>#N/A</v>
      </c>
      <c r="C1105" s="35"/>
      <c r="D1105" s="30" t="s">
        <v>1503</v>
      </c>
      <c r="E1105" s="15" t="s">
        <v>1503</v>
      </c>
    </row>
    <row r="1106" spans="1:5" x14ac:dyDescent="0.25">
      <c r="A1106" s="36" t="e">
        <f>VLOOKUP($C1106,'Variable Information'!$A$2:$E$480,5,FALSE)</f>
        <v>#N/A</v>
      </c>
      <c r="B1106" s="36" t="e">
        <f>VLOOKUP($C1106,'Variable Information'!$A$1:$C$480,3,FALSE)</f>
        <v>#N/A</v>
      </c>
      <c r="C1106" s="35"/>
      <c r="D1106" s="30" t="s">
        <v>1524</v>
      </c>
      <c r="E1106" s="15" t="s">
        <v>1524</v>
      </c>
    </row>
    <row r="1107" spans="1:5" x14ac:dyDescent="0.25">
      <c r="A1107" s="36" t="str">
        <f>VLOOKUP($C1107,'Variable Information'!$A$2:$E$480,5,FALSE)</f>
        <v>AJP_M1_rank</v>
      </c>
      <c r="B1107" s="36" t="str">
        <f>VLOOKUP($C1107,'Variable Information'!$A$1:$C$480,3,FALSE)</f>
        <v>Q23_4_13_1. Issue ranking - Unable to pay bills/loans/debts including buy-now-pay-later (excluding mortgage and rental payments)</v>
      </c>
      <c r="C1107" s="35" t="s">
        <v>536</v>
      </c>
      <c r="D1107" s="30" t="s">
        <v>1447</v>
      </c>
      <c r="E1107" s="15" t="s">
        <v>1447</v>
      </c>
    </row>
    <row r="1108" spans="1:5" x14ac:dyDescent="0.25">
      <c r="A1108" s="36" t="e">
        <f>VLOOKUP($C1108,'Variable Information'!$A$2:$E$480,5,FALSE)</f>
        <v>#N/A</v>
      </c>
      <c r="B1108" s="36" t="e">
        <f>VLOOKUP($C1108,'Variable Information'!$A$1:$C$480,3,FALSE)</f>
        <v>#N/A</v>
      </c>
      <c r="C1108" s="35"/>
      <c r="D1108" s="30" t="s">
        <v>1449</v>
      </c>
      <c r="E1108" s="15" t="s">
        <v>1449</v>
      </c>
    </row>
    <row r="1109" spans="1:5" x14ac:dyDescent="0.25">
      <c r="A1109" s="36" t="e">
        <f>VLOOKUP($C1109,'Variable Information'!$A$2:$E$480,5,FALSE)</f>
        <v>#N/A</v>
      </c>
      <c r="B1109" s="36" t="e">
        <f>VLOOKUP($C1109,'Variable Information'!$A$1:$C$480,3,FALSE)</f>
        <v>#N/A</v>
      </c>
      <c r="C1109" s="35"/>
      <c r="D1109" s="30" t="s">
        <v>1451</v>
      </c>
      <c r="E1109" s="15" t="s">
        <v>1451</v>
      </c>
    </row>
    <row r="1110" spans="1:5" x14ac:dyDescent="0.25">
      <c r="A1110" s="36" t="e">
        <f>VLOOKUP($C1110,'Variable Information'!$A$2:$E$480,5,FALSE)</f>
        <v>#N/A</v>
      </c>
      <c r="B1110" s="36" t="e">
        <f>VLOOKUP($C1110,'Variable Information'!$A$1:$C$480,3,FALSE)</f>
        <v>#N/A</v>
      </c>
      <c r="C1110" s="35"/>
      <c r="D1110" s="30" t="s">
        <v>1456</v>
      </c>
      <c r="E1110" s="15" t="s">
        <v>1456</v>
      </c>
    </row>
    <row r="1111" spans="1:5" x14ac:dyDescent="0.25">
      <c r="A1111" s="36" t="e">
        <f>VLOOKUP($C1111,'Variable Information'!$A$2:$E$480,5,FALSE)</f>
        <v>#N/A</v>
      </c>
      <c r="B1111" s="36" t="e">
        <f>VLOOKUP($C1111,'Variable Information'!$A$1:$C$480,3,FALSE)</f>
        <v>#N/A</v>
      </c>
      <c r="C1111" s="35"/>
      <c r="D1111" s="30" t="s">
        <v>1458</v>
      </c>
      <c r="E1111" s="15" t="s">
        <v>1458</v>
      </c>
    </row>
    <row r="1112" spans="1:5" x14ac:dyDescent="0.25">
      <c r="A1112" s="36" t="e">
        <f>VLOOKUP($C1112,'Variable Information'!$A$2:$E$480,5,FALSE)</f>
        <v>#N/A</v>
      </c>
      <c r="B1112" s="36" t="e">
        <f>VLOOKUP($C1112,'Variable Information'!$A$1:$C$480,3,FALSE)</f>
        <v>#N/A</v>
      </c>
      <c r="C1112" s="35"/>
      <c r="D1112" s="30" t="s">
        <v>1460</v>
      </c>
      <c r="E1112" s="15" t="s">
        <v>1460</v>
      </c>
    </row>
    <row r="1113" spans="1:5" x14ac:dyDescent="0.25">
      <c r="A1113" s="36" t="e">
        <f>VLOOKUP($C1113,'Variable Information'!$A$2:$E$480,5,FALSE)</f>
        <v>#N/A</v>
      </c>
      <c r="B1113" s="36" t="e">
        <f>VLOOKUP($C1113,'Variable Information'!$A$1:$C$480,3,FALSE)</f>
        <v>#N/A</v>
      </c>
      <c r="C1113" s="35"/>
      <c r="D1113" s="30" t="s">
        <v>1462</v>
      </c>
      <c r="E1113" s="15" t="s">
        <v>1462</v>
      </c>
    </row>
    <row r="1114" spans="1:5" x14ac:dyDescent="0.25">
      <c r="A1114" s="36" t="e">
        <f>VLOOKUP($C1114,'Variable Information'!$A$2:$E$480,5,FALSE)</f>
        <v>#N/A</v>
      </c>
      <c r="B1114" s="36" t="e">
        <f>VLOOKUP($C1114,'Variable Information'!$A$1:$C$480,3,FALSE)</f>
        <v>#N/A</v>
      </c>
      <c r="C1114" s="35"/>
      <c r="D1114" s="30" t="s">
        <v>1471</v>
      </c>
      <c r="E1114" s="15" t="s">
        <v>1471</v>
      </c>
    </row>
    <row r="1115" spans="1:5" x14ac:dyDescent="0.25">
      <c r="A1115" s="36" t="e">
        <f>VLOOKUP($C1115,'Variable Information'!$A$2:$E$480,5,FALSE)</f>
        <v>#N/A</v>
      </c>
      <c r="B1115" s="36" t="e">
        <f>VLOOKUP($C1115,'Variable Information'!$A$1:$C$480,3,FALSE)</f>
        <v>#N/A</v>
      </c>
      <c r="C1115" s="35"/>
      <c r="D1115" s="30" t="s">
        <v>1473</v>
      </c>
      <c r="E1115" s="15" t="s">
        <v>1473</v>
      </c>
    </row>
    <row r="1116" spans="1:5" x14ac:dyDescent="0.25">
      <c r="A1116" s="36" t="e">
        <f>VLOOKUP($C1116,'Variable Information'!$A$2:$E$480,5,FALSE)</f>
        <v>#N/A</v>
      </c>
      <c r="B1116" s="36" t="e">
        <f>VLOOKUP($C1116,'Variable Information'!$A$1:$C$480,3,FALSE)</f>
        <v>#N/A</v>
      </c>
      <c r="C1116" s="35"/>
      <c r="D1116" s="30" t="s">
        <v>1475</v>
      </c>
      <c r="E1116" s="15" t="s">
        <v>1475</v>
      </c>
    </row>
    <row r="1117" spans="1:5" x14ac:dyDescent="0.25">
      <c r="A1117" s="36" t="e">
        <f>VLOOKUP($C1117,'Variable Information'!$A$2:$E$480,5,FALSE)</f>
        <v>#N/A</v>
      </c>
      <c r="B1117" s="36" t="e">
        <f>VLOOKUP($C1117,'Variable Information'!$A$1:$C$480,3,FALSE)</f>
        <v>#N/A</v>
      </c>
      <c r="C1117" s="35"/>
      <c r="D1117" s="30" t="s">
        <v>1477</v>
      </c>
      <c r="E1117" s="15" t="s">
        <v>1477</v>
      </c>
    </row>
    <row r="1118" spans="1:5" x14ac:dyDescent="0.25">
      <c r="A1118" s="36" t="e">
        <f>VLOOKUP($C1118,'Variable Information'!$A$2:$E$480,5,FALSE)</f>
        <v>#N/A</v>
      </c>
      <c r="B1118" s="36" t="e">
        <f>VLOOKUP($C1118,'Variable Information'!$A$1:$C$480,3,FALSE)</f>
        <v>#N/A</v>
      </c>
      <c r="C1118" s="35"/>
      <c r="D1118" s="30" t="s">
        <v>1503</v>
      </c>
      <c r="E1118" s="15" t="s">
        <v>1503</v>
      </c>
    </row>
    <row r="1119" spans="1:5" x14ac:dyDescent="0.25">
      <c r="A1119" s="36" t="e">
        <f>VLOOKUP($C1119,'Variable Information'!$A$2:$E$480,5,FALSE)</f>
        <v>#N/A</v>
      </c>
      <c r="B1119" s="36" t="e">
        <f>VLOOKUP($C1119,'Variable Information'!$A$1:$C$480,3,FALSE)</f>
        <v>#N/A</v>
      </c>
      <c r="C1119" s="35"/>
      <c r="D1119" s="30" t="s">
        <v>1524</v>
      </c>
      <c r="E1119" s="15" t="s">
        <v>1524</v>
      </c>
    </row>
    <row r="1120" spans="1:5" x14ac:dyDescent="0.25">
      <c r="A1120" s="36" t="str">
        <f>VLOOKUP($C1120,'Variable Information'!$A$2:$E$480,5,FALSE)</f>
        <v>AJP_M2_rank</v>
      </c>
      <c r="B1120" s="36" t="str">
        <f>VLOOKUP($C1120,'Variable Information'!$A$1:$C$480,3,FALSE)</f>
        <v>Q23_4_13_2. Issue ranking - Disputes about insurance coverage/claim</v>
      </c>
      <c r="C1120" s="35" t="s">
        <v>539</v>
      </c>
      <c r="D1120" s="30" t="s">
        <v>1447</v>
      </c>
      <c r="E1120" s="15" t="s">
        <v>1447</v>
      </c>
    </row>
    <row r="1121" spans="1:5" x14ac:dyDescent="0.25">
      <c r="A1121" s="36" t="e">
        <f>VLOOKUP($C1121,'Variable Information'!$A$2:$E$480,5,FALSE)</f>
        <v>#N/A</v>
      </c>
      <c r="B1121" s="36" t="e">
        <f>VLOOKUP($C1121,'Variable Information'!$A$1:$C$480,3,FALSE)</f>
        <v>#N/A</v>
      </c>
      <c r="C1121" s="35"/>
      <c r="D1121" s="30" t="s">
        <v>1449</v>
      </c>
      <c r="E1121" s="15" t="s">
        <v>1449</v>
      </c>
    </row>
    <row r="1122" spans="1:5" x14ac:dyDescent="0.25">
      <c r="A1122" s="36" t="e">
        <f>VLOOKUP($C1122,'Variable Information'!$A$2:$E$480,5,FALSE)</f>
        <v>#N/A</v>
      </c>
      <c r="B1122" s="36" t="e">
        <f>VLOOKUP($C1122,'Variable Information'!$A$1:$C$480,3,FALSE)</f>
        <v>#N/A</v>
      </c>
      <c r="C1122" s="35"/>
      <c r="D1122" s="30" t="s">
        <v>1451</v>
      </c>
      <c r="E1122" s="15" t="s">
        <v>1451</v>
      </c>
    </row>
    <row r="1123" spans="1:5" x14ac:dyDescent="0.25">
      <c r="A1123" s="36" t="e">
        <f>VLOOKUP($C1123,'Variable Information'!$A$2:$E$480,5,FALSE)</f>
        <v>#N/A</v>
      </c>
      <c r="B1123" s="36" t="e">
        <f>VLOOKUP($C1123,'Variable Information'!$A$1:$C$480,3,FALSE)</f>
        <v>#N/A</v>
      </c>
      <c r="C1123" s="35"/>
      <c r="D1123" s="30" t="s">
        <v>1456</v>
      </c>
      <c r="E1123" s="15" t="s">
        <v>1456</v>
      </c>
    </row>
    <row r="1124" spans="1:5" x14ac:dyDescent="0.25">
      <c r="A1124" s="36" t="e">
        <f>VLOOKUP($C1124,'Variable Information'!$A$2:$E$480,5,FALSE)</f>
        <v>#N/A</v>
      </c>
      <c r="B1124" s="36" t="e">
        <f>VLOOKUP($C1124,'Variable Information'!$A$1:$C$480,3,FALSE)</f>
        <v>#N/A</v>
      </c>
      <c r="C1124" s="35"/>
      <c r="D1124" s="30" t="s">
        <v>1458</v>
      </c>
      <c r="E1124" s="15" t="s">
        <v>1458</v>
      </c>
    </row>
    <row r="1125" spans="1:5" x14ac:dyDescent="0.25">
      <c r="A1125" s="36" t="e">
        <f>VLOOKUP($C1125,'Variable Information'!$A$2:$E$480,5,FALSE)</f>
        <v>#N/A</v>
      </c>
      <c r="B1125" s="36" t="e">
        <f>VLOOKUP($C1125,'Variable Information'!$A$1:$C$480,3,FALSE)</f>
        <v>#N/A</v>
      </c>
      <c r="C1125" s="35"/>
      <c r="D1125" s="30" t="s">
        <v>1460</v>
      </c>
      <c r="E1125" s="15" t="s">
        <v>1460</v>
      </c>
    </row>
    <row r="1126" spans="1:5" x14ac:dyDescent="0.25">
      <c r="A1126" s="36" t="e">
        <f>VLOOKUP($C1126,'Variable Information'!$A$2:$E$480,5,FALSE)</f>
        <v>#N/A</v>
      </c>
      <c r="B1126" s="36" t="e">
        <f>VLOOKUP($C1126,'Variable Information'!$A$1:$C$480,3,FALSE)</f>
        <v>#N/A</v>
      </c>
      <c r="C1126" s="35"/>
      <c r="D1126" s="30" t="s">
        <v>1462</v>
      </c>
      <c r="E1126" s="15" t="s">
        <v>1462</v>
      </c>
    </row>
    <row r="1127" spans="1:5" x14ac:dyDescent="0.25">
      <c r="A1127" s="36" t="e">
        <f>VLOOKUP($C1127,'Variable Information'!$A$2:$E$480,5,FALSE)</f>
        <v>#N/A</v>
      </c>
      <c r="B1127" s="36" t="e">
        <f>VLOOKUP($C1127,'Variable Information'!$A$1:$C$480,3,FALSE)</f>
        <v>#N/A</v>
      </c>
      <c r="C1127" s="35"/>
      <c r="D1127" s="30" t="s">
        <v>1471</v>
      </c>
      <c r="E1127" s="15" t="s">
        <v>1471</v>
      </c>
    </row>
    <row r="1128" spans="1:5" x14ac:dyDescent="0.25">
      <c r="A1128" s="36" t="e">
        <f>VLOOKUP($C1128,'Variable Information'!$A$2:$E$480,5,FALSE)</f>
        <v>#N/A</v>
      </c>
      <c r="B1128" s="36" t="e">
        <f>VLOOKUP($C1128,'Variable Information'!$A$1:$C$480,3,FALSE)</f>
        <v>#N/A</v>
      </c>
      <c r="C1128" s="35"/>
      <c r="D1128" s="30" t="s">
        <v>1473</v>
      </c>
      <c r="E1128" s="15" t="s">
        <v>1473</v>
      </c>
    </row>
    <row r="1129" spans="1:5" x14ac:dyDescent="0.25">
      <c r="A1129" s="36" t="e">
        <f>VLOOKUP($C1129,'Variable Information'!$A$2:$E$480,5,FALSE)</f>
        <v>#N/A</v>
      </c>
      <c r="B1129" s="36" t="e">
        <f>VLOOKUP($C1129,'Variable Information'!$A$1:$C$480,3,FALSE)</f>
        <v>#N/A</v>
      </c>
      <c r="C1129" s="35"/>
      <c r="D1129" s="30" t="s">
        <v>1475</v>
      </c>
      <c r="E1129" s="15" t="s">
        <v>1475</v>
      </c>
    </row>
    <row r="1130" spans="1:5" x14ac:dyDescent="0.25">
      <c r="A1130" s="36" t="e">
        <f>VLOOKUP($C1130,'Variable Information'!$A$2:$E$480,5,FALSE)</f>
        <v>#N/A</v>
      </c>
      <c r="B1130" s="36" t="e">
        <f>VLOOKUP($C1130,'Variable Information'!$A$1:$C$480,3,FALSE)</f>
        <v>#N/A</v>
      </c>
      <c r="C1130" s="35"/>
      <c r="D1130" s="30" t="s">
        <v>1477</v>
      </c>
      <c r="E1130" s="15" t="s">
        <v>1477</v>
      </c>
    </row>
    <row r="1131" spans="1:5" x14ac:dyDescent="0.25">
      <c r="A1131" s="36" t="e">
        <f>VLOOKUP($C1131,'Variable Information'!$A$2:$E$480,5,FALSE)</f>
        <v>#N/A</v>
      </c>
      <c r="B1131" s="36" t="e">
        <f>VLOOKUP($C1131,'Variable Information'!$A$1:$C$480,3,FALSE)</f>
        <v>#N/A</v>
      </c>
      <c r="C1131" s="35"/>
      <c r="D1131" s="30" t="s">
        <v>1503</v>
      </c>
      <c r="E1131" s="15" t="s">
        <v>1503</v>
      </c>
    </row>
    <row r="1132" spans="1:5" x14ac:dyDescent="0.25">
      <c r="A1132" s="36" t="e">
        <f>VLOOKUP($C1132,'Variable Information'!$A$2:$E$480,5,FALSE)</f>
        <v>#N/A</v>
      </c>
      <c r="B1132" s="36" t="e">
        <f>VLOOKUP($C1132,'Variable Information'!$A$1:$C$480,3,FALSE)</f>
        <v>#N/A</v>
      </c>
      <c r="C1132" s="35"/>
      <c r="D1132" s="30" t="s">
        <v>1524</v>
      </c>
      <c r="E1132" s="15" t="s">
        <v>1524</v>
      </c>
    </row>
    <row r="1133" spans="1:5" x14ac:dyDescent="0.25">
      <c r="A1133" s="36" t="str">
        <f>VLOOKUP($C1133,'Variable Information'!$A$2:$E$480,5,FALSE)</f>
        <v>AJP_M3_rank</v>
      </c>
      <c r="B1133" s="36" t="str">
        <f>VLOOKUP($C1133,'Variable Information'!$A$1:$C$480,3,FALSE)</f>
        <v>Q23_4_13_3. Issue ranking - Disputes with the bank or other financial institutions including refusal of credit/loan/mortgage</v>
      </c>
      <c r="C1133" s="35" t="s">
        <v>542</v>
      </c>
      <c r="D1133" s="30" t="s">
        <v>1447</v>
      </c>
      <c r="E1133" s="15" t="s">
        <v>1447</v>
      </c>
    </row>
    <row r="1134" spans="1:5" x14ac:dyDescent="0.25">
      <c r="A1134" s="36" t="e">
        <f>VLOOKUP($C1134,'Variable Information'!$A$2:$E$480,5,FALSE)</f>
        <v>#N/A</v>
      </c>
      <c r="B1134" s="36" t="e">
        <f>VLOOKUP($C1134,'Variable Information'!$A$1:$C$480,3,FALSE)</f>
        <v>#N/A</v>
      </c>
      <c r="C1134" s="35"/>
      <c r="D1134" s="30" t="s">
        <v>1449</v>
      </c>
      <c r="E1134" s="15" t="s">
        <v>1449</v>
      </c>
    </row>
    <row r="1135" spans="1:5" x14ac:dyDescent="0.25">
      <c r="A1135" s="36" t="e">
        <f>VLOOKUP($C1135,'Variable Information'!$A$2:$E$480,5,FALSE)</f>
        <v>#N/A</v>
      </c>
      <c r="B1135" s="36" t="e">
        <f>VLOOKUP($C1135,'Variable Information'!$A$1:$C$480,3,FALSE)</f>
        <v>#N/A</v>
      </c>
      <c r="C1135" s="35"/>
      <c r="D1135" s="30" t="s">
        <v>1451</v>
      </c>
      <c r="E1135" s="15" t="s">
        <v>1451</v>
      </c>
    </row>
    <row r="1136" spans="1:5" x14ac:dyDescent="0.25">
      <c r="A1136" s="36" t="e">
        <f>VLOOKUP($C1136,'Variable Information'!$A$2:$E$480,5,FALSE)</f>
        <v>#N/A</v>
      </c>
      <c r="B1136" s="36" t="e">
        <f>VLOOKUP($C1136,'Variable Information'!$A$1:$C$480,3,FALSE)</f>
        <v>#N/A</v>
      </c>
      <c r="C1136" s="35"/>
      <c r="D1136" s="30" t="s">
        <v>1456</v>
      </c>
      <c r="E1136" s="15" t="s">
        <v>1456</v>
      </c>
    </row>
    <row r="1137" spans="1:5" x14ac:dyDescent="0.25">
      <c r="A1137" s="36" t="e">
        <f>VLOOKUP($C1137,'Variable Information'!$A$2:$E$480,5,FALSE)</f>
        <v>#N/A</v>
      </c>
      <c r="B1137" s="36" t="e">
        <f>VLOOKUP($C1137,'Variable Information'!$A$1:$C$480,3,FALSE)</f>
        <v>#N/A</v>
      </c>
      <c r="C1137" s="35"/>
      <c r="D1137" s="30" t="s">
        <v>1458</v>
      </c>
      <c r="E1137" s="15" t="s">
        <v>1458</v>
      </c>
    </row>
    <row r="1138" spans="1:5" x14ac:dyDescent="0.25">
      <c r="A1138" s="36" t="e">
        <f>VLOOKUP($C1138,'Variable Information'!$A$2:$E$480,5,FALSE)</f>
        <v>#N/A</v>
      </c>
      <c r="B1138" s="36" t="e">
        <f>VLOOKUP($C1138,'Variable Information'!$A$1:$C$480,3,FALSE)</f>
        <v>#N/A</v>
      </c>
      <c r="C1138" s="35"/>
      <c r="D1138" s="30" t="s">
        <v>1460</v>
      </c>
      <c r="E1138" s="15" t="s">
        <v>1460</v>
      </c>
    </row>
    <row r="1139" spans="1:5" x14ac:dyDescent="0.25">
      <c r="A1139" s="36" t="e">
        <f>VLOOKUP($C1139,'Variable Information'!$A$2:$E$480,5,FALSE)</f>
        <v>#N/A</v>
      </c>
      <c r="B1139" s="36" t="e">
        <f>VLOOKUP($C1139,'Variable Information'!$A$1:$C$480,3,FALSE)</f>
        <v>#N/A</v>
      </c>
      <c r="C1139" s="35"/>
      <c r="D1139" s="30" t="s">
        <v>1462</v>
      </c>
      <c r="E1139" s="15" t="s">
        <v>1462</v>
      </c>
    </row>
    <row r="1140" spans="1:5" x14ac:dyDescent="0.25">
      <c r="A1140" s="36" t="e">
        <f>VLOOKUP($C1140,'Variable Information'!$A$2:$E$480,5,FALSE)</f>
        <v>#N/A</v>
      </c>
      <c r="B1140" s="36" t="e">
        <f>VLOOKUP($C1140,'Variable Information'!$A$1:$C$480,3,FALSE)</f>
        <v>#N/A</v>
      </c>
      <c r="C1140" s="35"/>
      <c r="D1140" s="30" t="s">
        <v>1471</v>
      </c>
      <c r="E1140" s="15" t="s">
        <v>1471</v>
      </c>
    </row>
    <row r="1141" spans="1:5" x14ac:dyDescent="0.25">
      <c r="A1141" s="36" t="e">
        <f>VLOOKUP($C1141,'Variable Information'!$A$2:$E$480,5,FALSE)</f>
        <v>#N/A</v>
      </c>
      <c r="B1141" s="36" t="e">
        <f>VLOOKUP($C1141,'Variable Information'!$A$1:$C$480,3,FALSE)</f>
        <v>#N/A</v>
      </c>
      <c r="C1141" s="35"/>
      <c r="D1141" s="30" t="s">
        <v>1473</v>
      </c>
      <c r="E1141" s="15" t="s">
        <v>1473</v>
      </c>
    </row>
    <row r="1142" spans="1:5" x14ac:dyDescent="0.25">
      <c r="A1142" s="36" t="e">
        <f>VLOOKUP($C1142,'Variable Information'!$A$2:$E$480,5,FALSE)</f>
        <v>#N/A</v>
      </c>
      <c r="B1142" s="36" t="e">
        <f>VLOOKUP($C1142,'Variable Information'!$A$1:$C$480,3,FALSE)</f>
        <v>#N/A</v>
      </c>
      <c r="C1142" s="35"/>
      <c r="D1142" s="30" t="s">
        <v>1475</v>
      </c>
      <c r="E1142" s="15" t="s">
        <v>1475</v>
      </c>
    </row>
    <row r="1143" spans="1:5" x14ac:dyDescent="0.25">
      <c r="A1143" s="36" t="e">
        <f>VLOOKUP($C1143,'Variable Information'!$A$2:$E$480,5,FALSE)</f>
        <v>#N/A</v>
      </c>
      <c r="B1143" s="36" t="e">
        <f>VLOOKUP($C1143,'Variable Information'!$A$1:$C$480,3,FALSE)</f>
        <v>#N/A</v>
      </c>
      <c r="C1143" s="35"/>
      <c r="D1143" s="30" t="s">
        <v>1477</v>
      </c>
      <c r="E1143" s="15" t="s">
        <v>1477</v>
      </c>
    </row>
    <row r="1144" spans="1:5" x14ac:dyDescent="0.25">
      <c r="A1144" s="36" t="e">
        <f>VLOOKUP($C1144,'Variable Information'!$A$2:$E$480,5,FALSE)</f>
        <v>#N/A</v>
      </c>
      <c r="B1144" s="36" t="e">
        <f>VLOOKUP($C1144,'Variable Information'!$A$1:$C$480,3,FALSE)</f>
        <v>#N/A</v>
      </c>
      <c r="C1144" s="35"/>
      <c r="D1144" s="30" t="s">
        <v>1503</v>
      </c>
      <c r="E1144" s="15" t="s">
        <v>1503</v>
      </c>
    </row>
    <row r="1145" spans="1:5" x14ac:dyDescent="0.25">
      <c r="A1145" s="36" t="e">
        <f>VLOOKUP($C1145,'Variable Information'!$A$2:$E$480,5,FALSE)</f>
        <v>#N/A</v>
      </c>
      <c r="B1145" s="36" t="e">
        <f>VLOOKUP($C1145,'Variable Information'!$A$1:$C$480,3,FALSE)</f>
        <v>#N/A</v>
      </c>
      <c r="C1145" s="35"/>
      <c r="D1145" s="30" t="s">
        <v>1524</v>
      </c>
      <c r="E1145" s="15" t="s">
        <v>1524</v>
      </c>
    </row>
    <row r="1146" spans="1:5" x14ac:dyDescent="0.25">
      <c r="A1146" s="36" t="str">
        <f>VLOOKUP($C1146,'Variable Information'!$A$2:$E$480,5,FALSE)</f>
        <v>AJP_M4_rank</v>
      </c>
      <c r="B1146" s="36" t="str">
        <f>VLOOKUP($C1146,'Variable Information'!$A$1:$C$480,3,FALSE)</f>
        <v>Q23_4_13_4. Issue ranking - Disputes about tax assessments/payments/refunds</v>
      </c>
      <c r="C1146" s="35" t="s">
        <v>545</v>
      </c>
      <c r="D1146" s="30" t="s">
        <v>1447</v>
      </c>
      <c r="E1146" s="15" t="s">
        <v>1447</v>
      </c>
    </row>
    <row r="1147" spans="1:5" x14ac:dyDescent="0.25">
      <c r="A1147" s="36" t="e">
        <f>VLOOKUP($C1147,'Variable Information'!$A$2:$E$480,5,FALSE)</f>
        <v>#N/A</v>
      </c>
      <c r="B1147" s="36" t="e">
        <f>VLOOKUP($C1147,'Variable Information'!$A$1:$C$480,3,FALSE)</f>
        <v>#N/A</v>
      </c>
      <c r="C1147" s="35"/>
      <c r="D1147" s="30" t="s">
        <v>1449</v>
      </c>
      <c r="E1147" s="15" t="s">
        <v>1449</v>
      </c>
    </row>
    <row r="1148" spans="1:5" x14ac:dyDescent="0.25">
      <c r="A1148" s="36" t="e">
        <f>VLOOKUP($C1148,'Variable Information'!$A$2:$E$480,5,FALSE)</f>
        <v>#N/A</v>
      </c>
      <c r="B1148" s="36" t="e">
        <f>VLOOKUP($C1148,'Variable Information'!$A$1:$C$480,3,FALSE)</f>
        <v>#N/A</v>
      </c>
      <c r="C1148" s="35"/>
      <c r="D1148" s="30" t="s">
        <v>1451</v>
      </c>
      <c r="E1148" s="15" t="s">
        <v>1451</v>
      </c>
    </row>
    <row r="1149" spans="1:5" x14ac:dyDescent="0.25">
      <c r="A1149" s="36" t="e">
        <f>VLOOKUP($C1149,'Variable Information'!$A$2:$E$480,5,FALSE)</f>
        <v>#N/A</v>
      </c>
      <c r="B1149" s="36" t="e">
        <f>VLOOKUP($C1149,'Variable Information'!$A$1:$C$480,3,FALSE)</f>
        <v>#N/A</v>
      </c>
      <c r="C1149" s="35"/>
      <c r="D1149" s="30" t="s">
        <v>1456</v>
      </c>
      <c r="E1149" s="15" t="s">
        <v>1456</v>
      </c>
    </row>
    <row r="1150" spans="1:5" x14ac:dyDescent="0.25">
      <c r="A1150" s="36" t="e">
        <f>VLOOKUP($C1150,'Variable Information'!$A$2:$E$480,5,FALSE)</f>
        <v>#N/A</v>
      </c>
      <c r="B1150" s="36" t="e">
        <f>VLOOKUP($C1150,'Variable Information'!$A$1:$C$480,3,FALSE)</f>
        <v>#N/A</v>
      </c>
      <c r="C1150" s="35"/>
      <c r="D1150" s="30" t="s">
        <v>1458</v>
      </c>
      <c r="E1150" s="15" t="s">
        <v>1458</v>
      </c>
    </row>
    <row r="1151" spans="1:5" x14ac:dyDescent="0.25">
      <c r="A1151" s="36" t="e">
        <f>VLOOKUP($C1151,'Variable Information'!$A$2:$E$480,5,FALSE)</f>
        <v>#N/A</v>
      </c>
      <c r="B1151" s="36" t="e">
        <f>VLOOKUP($C1151,'Variable Information'!$A$1:$C$480,3,FALSE)</f>
        <v>#N/A</v>
      </c>
      <c r="C1151" s="35"/>
      <c r="D1151" s="30" t="s">
        <v>1460</v>
      </c>
      <c r="E1151" s="15" t="s">
        <v>1460</v>
      </c>
    </row>
    <row r="1152" spans="1:5" x14ac:dyDescent="0.25">
      <c r="A1152" s="36" t="e">
        <f>VLOOKUP($C1152,'Variable Information'!$A$2:$E$480,5,FALSE)</f>
        <v>#N/A</v>
      </c>
      <c r="B1152" s="36" t="e">
        <f>VLOOKUP($C1152,'Variable Information'!$A$1:$C$480,3,FALSE)</f>
        <v>#N/A</v>
      </c>
      <c r="C1152" s="35"/>
      <c r="D1152" s="30" t="s">
        <v>1462</v>
      </c>
      <c r="E1152" s="15" t="s">
        <v>1462</v>
      </c>
    </row>
    <row r="1153" spans="1:5" x14ac:dyDescent="0.25">
      <c r="A1153" s="36" t="e">
        <f>VLOOKUP($C1153,'Variable Information'!$A$2:$E$480,5,FALSE)</f>
        <v>#N/A</v>
      </c>
      <c r="B1153" s="36" t="e">
        <f>VLOOKUP($C1153,'Variable Information'!$A$1:$C$480,3,FALSE)</f>
        <v>#N/A</v>
      </c>
      <c r="C1153" s="35"/>
      <c r="D1153" s="30" t="s">
        <v>1471</v>
      </c>
      <c r="E1153" s="15" t="s">
        <v>1471</v>
      </c>
    </row>
    <row r="1154" spans="1:5" x14ac:dyDescent="0.25">
      <c r="A1154" s="36" t="e">
        <f>VLOOKUP($C1154,'Variable Information'!$A$2:$E$480,5,FALSE)</f>
        <v>#N/A</v>
      </c>
      <c r="B1154" s="36" t="e">
        <f>VLOOKUP($C1154,'Variable Information'!$A$1:$C$480,3,FALSE)</f>
        <v>#N/A</v>
      </c>
      <c r="C1154" s="35"/>
      <c r="D1154" s="30" t="s">
        <v>1473</v>
      </c>
      <c r="E1154" s="15" t="s">
        <v>1473</v>
      </c>
    </row>
    <row r="1155" spans="1:5" x14ac:dyDescent="0.25">
      <c r="A1155" s="36" t="e">
        <f>VLOOKUP($C1155,'Variable Information'!$A$2:$E$480,5,FALSE)</f>
        <v>#N/A</v>
      </c>
      <c r="B1155" s="36" t="e">
        <f>VLOOKUP($C1155,'Variable Information'!$A$1:$C$480,3,FALSE)</f>
        <v>#N/A</v>
      </c>
      <c r="C1155" s="35"/>
      <c r="D1155" s="30" t="s">
        <v>1475</v>
      </c>
      <c r="E1155" s="15" t="s">
        <v>1475</v>
      </c>
    </row>
    <row r="1156" spans="1:5" x14ac:dyDescent="0.25">
      <c r="A1156" s="36" t="e">
        <f>VLOOKUP($C1156,'Variable Information'!$A$2:$E$480,5,FALSE)</f>
        <v>#N/A</v>
      </c>
      <c r="B1156" s="36" t="e">
        <f>VLOOKUP($C1156,'Variable Information'!$A$1:$C$480,3,FALSE)</f>
        <v>#N/A</v>
      </c>
      <c r="C1156" s="35"/>
      <c r="D1156" s="30" t="s">
        <v>1477</v>
      </c>
      <c r="E1156" s="15" t="s">
        <v>1477</v>
      </c>
    </row>
    <row r="1157" spans="1:5" x14ac:dyDescent="0.25">
      <c r="A1157" s="36" t="e">
        <f>VLOOKUP($C1157,'Variable Information'!$A$2:$E$480,5,FALSE)</f>
        <v>#N/A</v>
      </c>
      <c r="B1157" s="36" t="e">
        <f>VLOOKUP($C1157,'Variable Information'!$A$1:$C$480,3,FALSE)</f>
        <v>#N/A</v>
      </c>
      <c r="C1157" s="35"/>
      <c r="D1157" s="30" t="s">
        <v>1503</v>
      </c>
      <c r="E1157" s="15" t="s">
        <v>1503</v>
      </c>
    </row>
    <row r="1158" spans="1:5" x14ac:dyDescent="0.25">
      <c r="A1158" s="36" t="e">
        <f>VLOOKUP($C1158,'Variable Information'!$A$2:$E$480,5,FALSE)</f>
        <v>#N/A</v>
      </c>
      <c r="B1158" s="36" t="e">
        <f>VLOOKUP($C1158,'Variable Information'!$A$1:$C$480,3,FALSE)</f>
        <v>#N/A</v>
      </c>
      <c r="C1158" s="35"/>
      <c r="D1158" s="30" t="s">
        <v>1524</v>
      </c>
      <c r="E1158" s="15" t="s">
        <v>1524</v>
      </c>
    </row>
    <row r="1159" spans="1:5" x14ac:dyDescent="0.25">
      <c r="A1159" s="36" t="str">
        <f>VLOOKUP($C1159,'Variable Information'!$A$2:$E$480,5,FALSE)</f>
        <v>AJP_M5_rank</v>
      </c>
      <c r="B1159" s="36" t="str">
        <f>VLOOKUP($C1159,'Variable Information'!$A$1:$C$480,3,FALSE)</f>
        <v>Q23_4_13_5. Issue ranking - Difficulties getting someone to pay money they owe you (other than as a landlord)</v>
      </c>
      <c r="C1159" s="35" t="s">
        <v>548</v>
      </c>
      <c r="D1159" s="30" t="s">
        <v>1447</v>
      </c>
      <c r="E1159" s="15" t="s">
        <v>1447</v>
      </c>
    </row>
    <row r="1160" spans="1:5" x14ac:dyDescent="0.25">
      <c r="A1160" s="36" t="e">
        <f>VLOOKUP($C1160,'Variable Information'!$A$2:$E$480,5,FALSE)</f>
        <v>#N/A</v>
      </c>
      <c r="B1160" s="36" t="e">
        <f>VLOOKUP($C1160,'Variable Information'!$A$1:$C$480,3,FALSE)</f>
        <v>#N/A</v>
      </c>
      <c r="C1160" s="35"/>
      <c r="D1160" s="30" t="s">
        <v>1449</v>
      </c>
      <c r="E1160" s="15" t="s">
        <v>1449</v>
      </c>
    </row>
    <row r="1161" spans="1:5" x14ac:dyDescent="0.25">
      <c r="A1161" s="36" t="e">
        <f>VLOOKUP($C1161,'Variable Information'!$A$2:$E$480,5,FALSE)</f>
        <v>#N/A</v>
      </c>
      <c r="B1161" s="36" t="e">
        <f>VLOOKUP($C1161,'Variable Information'!$A$1:$C$480,3,FALSE)</f>
        <v>#N/A</v>
      </c>
      <c r="C1161" s="35"/>
      <c r="D1161" s="30" t="s">
        <v>1451</v>
      </c>
      <c r="E1161" s="15" t="s">
        <v>1451</v>
      </c>
    </row>
    <row r="1162" spans="1:5" x14ac:dyDescent="0.25">
      <c r="A1162" s="36" t="e">
        <f>VLOOKUP($C1162,'Variable Information'!$A$2:$E$480,5,FALSE)</f>
        <v>#N/A</v>
      </c>
      <c r="B1162" s="36" t="e">
        <f>VLOOKUP($C1162,'Variable Information'!$A$1:$C$480,3,FALSE)</f>
        <v>#N/A</v>
      </c>
      <c r="C1162" s="35"/>
      <c r="D1162" s="30" t="s">
        <v>1456</v>
      </c>
      <c r="E1162" s="15" t="s">
        <v>1456</v>
      </c>
    </row>
    <row r="1163" spans="1:5" x14ac:dyDescent="0.25">
      <c r="A1163" s="36" t="e">
        <f>VLOOKUP($C1163,'Variable Information'!$A$2:$E$480,5,FALSE)</f>
        <v>#N/A</v>
      </c>
      <c r="B1163" s="36" t="e">
        <f>VLOOKUP($C1163,'Variable Information'!$A$1:$C$480,3,FALSE)</f>
        <v>#N/A</v>
      </c>
      <c r="C1163" s="35"/>
      <c r="D1163" s="30" t="s">
        <v>1458</v>
      </c>
      <c r="E1163" s="15" t="s">
        <v>1458</v>
      </c>
    </row>
    <row r="1164" spans="1:5" x14ac:dyDescent="0.25">
      <c r="A1164" s="36" t="e">
        <f>VLOOKUP($C1164,'Variable Information'!$A$2:$E$480,5,FALSE)</f>
        <v>#N/A</v>
      </c>
      <c r="B1164" s="36" t="e">
        <f>VLOOKUP($C1164,'Variable Information'!$A$1:$C$480,3,FALSE)</f>
        <v>#N/A</v>
      </c>
      <c r="C1164" s="35"/>
      <c r="D1164" s="30" t="s">
        <v>1460</v>
      </c>
      <c r="E1164" s="15" t="s">
        <v>1460</v>
      </c>
    </row>
    <row r="1165" spans="1:5" x14ac:dyDescent="0.25">
      <c r="A1165" s="36" t="e">
        <f>VLOOKUP($C1165,'Variable Information'!$A$2:$E$480,5,FALSE)</f>
        <v>#N/A</v>
      </c>
      <c r="B1165" s="36" t="e">
        <f>VLOOKUP($C1165,'Variable Information'!$A$1:$C$480,3,FALSE)</f>
        <v>#N/A</v>
      </c>
      <c r="C1165" s="35"/>
      <c r="D1165" s="30" t="s">
        <v>1462</v>
      </c>
      <c r="E1165" s="15" t="s">
        <v>1462</v>
      </c>
    </row>
    <row r="1166" spans="1:5" x14ac:dyDescent="0.25">
      <c r="A1166" s="36" t="e">
        <f>VLOOKUP($C1166,'Variable Information'!$A$2:$E$480,5,FALSE)</f>
        <v>#N/A</v>
      </c>
      <c r="B1166" s="36" t="e">
        <f>VLOOKUP($C1166,'Variable Information'!$A$1:$C$480,3,FALSE)</f>
        <v>#N/A</v>
      </c>
      <c r="C1166" s="35"/>
      <c r="D1166" s="30" t="s">
        <v>1471</v>
      </c>
      <c r="E1166" s="15" t="s">
        <v>1471</v>
      </c>
    </row>
    <row r="1167" spans="1:5" x14ac:dyDescent="0.25">
      <c r="A1167" s="36" t="e">
        <f>VLOOKUP($C1167,'Variable Information'!$A$2:$E$480,5,FALSE)</f>
        <v>#N/A</v>
      </c>
      <c r="B1167" s="36" t="e">
        <f>VLOOKUP($C1167,'Variable Information'!$A$1:$C$480,3,FALSE)</f>
        <v>#N/A</v>
      </c>
      <c r="C1167" s="35"/>
      <c r="D1167" s="30" t="s">
        <v>1473</v>
      </c>
      <c r="E1167" s="15" t="s">
        <v>1473</v>
      </c>
    </row>
    <row r="1168" spans="1:5" x14ac:dyDescent="0.25">
      <c r="A1168" s="36" t="e">
        <f>VLOOKUP($C1168,'Variable Information'!$A$2:$E$480,5,FALSE)</f>
        <v>#N/A</v>
      </c>
      <c r="B1168" s="36" t="e">
        <f>VLOOKUP($C1168,'Variable Information'!$A$1:$C$480,3,FALSE)</f>
        <v>#N/A</v>
      </c>
      <c r="C1168" s="35"/>
      <c r="D1168" s="30" t="s">
        <v>1475</v>
      </c>
      <c r="E1168" s="15" t="s">
        <v>1475</v>
      </c>
    </row>
    <row r="1169" spans="1:5" x14ac:dyDescent="0.25">
      <c r="A1169" s="36" t="e">
        <f>VLOOKUP($C1169,'Variable Information'!$A$2:$E$480,5,FALSE)</f>
        <v>#N/A</v>
      </c>
      <c r="B1169" s="36" t="e">
        <f>VLOOKUP($C1169,'Variable Information'!$A$1:$C$480,3,FALSE)</f>
        <v>#N/A</v>
      </c>
      <c r="C1169" s="35"/>
      <c r="D1169" s="30" t="s">
        <v>1477</v>
      </c>
      <c r="E1169" s="15" t="s">
        <v>1477</v>
      </c>
    </row>
    <row r="1170" spans="1:5" x14ac:dyDescent="0.25">
      <c r="A1170" s="36" t="e">
        <f>VLOOKUP($C1170,'Variable Information'!$A$2:$E$480,5,FALSE)</f>
        <v>#N/A</v>
      </c>
      <c r="B1170" s="36" t="e">
        <f>VLOOKUP($C1170,'Variable Information'!$A$1:$C$480,3,FALSE)</f>
        <v>#N/A</v>
      </c>
      <c r="C1170" s="35"/>
      <c r="D1170" s="30" t="s">
        <v>1503</v>
      </c>
      <c r="E1170" s="15" t="s">
        <v>1503</v>
      </c>
    </row>
    <row r="1171" spans="1:5" x14ac:dyDescent="0.25">
      <c r="A1171" s="36" t="e">
        <f>VLOOKUP($C1171,'Variable Information'!$A$2:$E$480,5,FALSE)</f>
        <v>#N/A</v>
      </c>
      <c r="B1171" s="36" t="e">
        <f>VLOOKUP($C1171,'Variable Information'!$A$1:$C$480,3,FALSE)</f>
        <v>#N/A</v>
      </c>
      <c r="C1171" s="35"/>
      <c r="D1171" s="30" t="s">
        <v>1524</v>
      </c>
      <c r="E1171" s="15" t="s">
        <v>1524</v>
      </c>
    </row>
    <row r="1172" spans="1:5" x14ac:dyDescent="0.25">
      <c r="A1172" s="36" t="str">
        <f>VLOOKUP($C1172,'Variable Information'!$A$2:$E$480,5,FALSE)</f>
        <v>AJP_N1_rank</v>
      </c>
      <c r="B1172" s="36" t="str">
        <f>VLOOKUP($C1172,'Variable Information'!$A$1:$C$480,3,FALSE)</f>
        <v>Q23_4_14_1. Issue ranking - Loss of a job or issues with pay/wages or other benefits</v>
      </c>
      <c r="C1172" s="35" t="s">
        <v>551</v>
      </c>
      <c r="D1172" s="30" t="s">
        <v>1447</v>
      </c>
      <c r="E1172" s="15" t="s">
        <v>1447</v>
      </c>
    </row>
    <row r="1173" spans="1:5" x14ac:dyDescent="0.25">
      <c r="A1173" s="36" t="e">
        <f>VLOOKUP($C1173,'Variable Information'!$A$2:$E$480,5,FALSE)</f>
        <v>#N/A</v>
      </c>
      <c r="B1173" s="36" t="e">
        <f>VLOOKUP($C1173,'Variable Information'!$A$1:$C$480,3,FALSE)</f>
        <v>#N/A</v>
      </c>
      <c r="C1173" s="35"/>
      <c r="D1173" s="30" t="s">
        <v>1449</v>
      </c>
      <c r="E1173" s="15" t="s">
        <v>1449</v>
      </c>
    </row>
    <row r="1174" spans="1:5" x14ac:dyDescent="0.25">
      <c r="A1174" s="36" t="e">
        <f>VLOOKUP($C1174,'Variable Information'!$A$2:$E$480,5,FALSE)</f>
        <v>#N/A</v>
      </c>
      <c r="B1174" s="36" t="e">
        <f>VLOOKUP($C1174,'Variable Information'!$A$1:$C$480,3,FALSE)</f>
        <v>#N/A</v>
      </c>
      <c r="C1174" s="35"/>
      <c r="D1174" s="30" t="s">
        <v>1451</v>
      </c>
      <c r="E1174" s="15" t="s">
        <v>1451</v>
      </c>
    </row>
    <row r="1175" spans="1:5" x14ac:dyDescent="0.25">
      <c r="A1175" s="36" t="e">
        <f>VLOOKUP($C1175,'Variable Information'!$A$2:$E$480,5,FALSE)</f>
        <v>#N/A</v>
      </c>
      <c r="B1175" s="36" t="e">
        <f>VLOOKUP($C1175,'Variable Information'!$A$1:$C$480,3,FALSE)</f>
        <v>#N/A</v>
      </c>
      <c r="C1175" s="35"/>
      <c r="D1175" s="30" t="s">
        <v>1456</v>
      </c>
      <c r="E1175" s="15" t="s">
        <v>1456</v>
      </c>
    </row>
    <row r="1176" spans="1:5" x14ac:dyDescent="0.25">
      <c r="A1176" s="36" t="e">
        <f>VLOOKUP($C1176,'Variable Information'!$A$2:$E$480,5,FALSE)</f>
        <v>#N/A</v>
      </c>
      <c r="B1176" s="36" t="e">
        <f>VLOOKUP($C1176,'Variable Information'!$A$1:$C$480,3,FALSE)</f>
        <v>#N/A</v>
      </c>
      <c r="C1176" s="35"/>
      <c r="D1176" s="30" t="s">
        <v>1458</v>
      </c>
      <c r="E1176" s="15" t="s">
        <v>1458</v>
      </c>
    </row>
    <row r="1177" spans="1:5" x14ac:dyDescent="0.25">
      <c r="A1177" s="36" t="e">
        <f>VLOOKUP($C1177,'Variable Information'!$A$2:$E$480,5,FALSE)</f>
        <v>#N/A</v>
      </c>
      <c r="B1177" s="36" t="e">
        <f>VLOOKUP($C1177,'Variable Information'!$A$1:$C$480,3,FALSE)</f>
        <v>#N/A</v>
      </c>
      <c r="C1177" s="35"/>
      <c r="D1177" s="30" t="s">
        <v>1460</v>
      </c>
      <c r="E1177" s="15" t="s">
        <v>1460</v>
      </c>
    </row>
    <row r="1178" spans="1:5" x14ac:dyDescent="0.25">
      <c r="A1178" s="36" t="e">
        <f>VLOOKUP($C1178,'Variable Information'!$A$2:$E$480,5,FALSE)</f>
        <v>#N/A</v>
      </c>
      <c r="B1178" s="36" t="e">
        <f>VLOOKUP($C1178,'Variable Information'!$A$1:$C$480,3,FALSE)</f>
        <v>#N/A</v>
      </c>
      <c r="C1178" s="35"/>
      <c r="D1178" s="30" t="s">
        <v>1462</v>
      </c>
      <c r="E1178" s="15" t="s">
        <v>1462</v>
      </c>
    </row>
    <row r="1179" spans="1:5" x14ac:dyDescent="0.25">
      <c r="A1179" s="36" t="e">
        <f>VLOOKUP($C1179,'Variable Information'!$A$2:$E$480,5,FALSE)</f>
        <v>#N/A</v>
      </c>
      <c r="B1179" s="36" t="e">
        <f>VLOOKUP($C1179,'Variable Information'!$A$1:$C$480,3,FALSE)</f>
        <v>#N/A</v>
      </c>
      <c r="C1179" s="35"/>
      <c r="D1179" s="30" t="s">
        <v>1471</v>
      </c>
      <c r="E1179" s="15" t="s">
        <v>1471</v>
      </c>
    </row>
    <row r="1180" spans="1:5" x14ac:dyDescent="0.25">
      <c r="A1180" s="36" t="e">
        <f>VLOOKUP($C1180,'Variable Information'!$A$2:$E$480,5,FALSE)</f>
        <v>#N/A</v>
      </c>
      <c r="B1180" s="36" t="e">
        <f>VLOOKUP($C1180,'Variable Information'!$A$1:$C$480,3,FALSE)</f>
        <v>#N/A</v>
      </c>
      <c r="C1180" s="35"/>
      <c r="D1180" s="30" t="s">
        <v>1473</v>
      </c>
      <c r="E1180" s="15" t="s">
        <v>1473</v>
      </c>
    </row>
    <row r="1181" spans="1:5" x14ac:dyDescent="0.25">
      <c r="A1181" s="36" t="e">
        <f>VLOOKUP($C1181,'Variable Information'!$A$2:$E$480,5,FALSE)</f>
        <v>#N/A</v>
      </c>
      <c r="B1181" s="36" t="e">
        <f>VLOOKUP($C1181,'Variable Information'!$A$1:$C$480,3,FALSE)</f>
        <v>#N/A</v>
      </c>
      <c r="C1181" s="35"/>
      <c r="D1181" s="30" t="s">
        <v>1475</v>
      </c>
      <c r="E1181" s="15" t="s">
        <v>1475</v>
      </c>
    </row>
    <row r="1182" spans="1:5" x14ac:dyDescent="0.25">
      <c r="A1182" s="36" t="e">
        <f>VLOOKUP($C1182,'Variable Information'!$A$2:$E$480,5,FALSE)</f>
        <v>#N/A</v>
      </c>
      <c r="B1182" s="36" t="e">
        <f>VLOOKUP($C1182,'Variable Information'!$A$1:$C$480,3,FALSE)</f>
        <v>#N/A</v>
      </c>
      <c r="C1182" s="35"/>
      <c r="D1182" s="30" t="s">
        <v>1477</v>
      </c>
      <c r="E1182" s="15" t="s">
        <v>1477</v>
      </c>
    </row>
    <row r="1183" spans="1:5" x14ac:dyDescent="0.25">
      <c r="A1183" s="36" t="e">
        <f>VLOOKUP($C1183,'Variable Information'!$A$2:$E$480,5,FALSE)</f>
        <v>#N/A</v>
      </c>
      <c r="B1183" s="36" t="e">
        <f>VLOOKUP($C1183,'Variable Information'!$A$1:$C$480,3,FALSE)</f>
        <v>#N/A</v>
      </c>
      <c r="C1183" s="35"/>
      <c r="D1183" s="30" t="s">
        <v>1503</v>
      </c>
      <c r="E1183" s="15" t="s">
        <v>1503</v>
      </c>
    </row>
    <row r="1184" spans="1:5" x14ac:dyDescent="0.25">
      <c r="A1184" s="36" t="e">
        <f>VLOOKUP($C1184,'Variable Information'!$A$2:$E$480,5,FALSE)</f>
        <v>#N/A</v>
      </c>
      <c r="B1184" s="36" t="e">
        <f>VLOOKUP($C1184,'Variable Information'!$A$1:$C$480,3,FALSE)</f>
        <v>#N/A</v>
      </c>
      <c r="C1184" s="35"/>
      <c r="D1184" s="30" t="s">
        <v>1524</v>
      </c>
      <c r="E1184" s="15" t="s">
        <v>1524</v>
      </c>
    </row>
    <row r="1185" spans="1:5" x14ac:dyDescent="0.25">
      <c r="A1185" s="36" t="str">
        <f>VLOOKUP($C1185,'Variable Information'!$A$2:$E$480,5,FALSE)</f>
        <v>AJP_N2_rank</v>
      </c>
      <c r="B1185" s="36" t="str">
        <f>VLOOKUP($C1185,'Variable Information'!$A$1:$C$480,3,FALSE)</f>
        <v>Q23_4_14_2. Issue ranking - Exposure to health and safety risks</v>
      </c>
      <c r="C1185" s="35" t="s">
        <v>554</v>
      </c>
      <c r="D1185" s="30" t="s">
        <v>1447</v>
      </c>
      <c r="E1185" s="15" t="s">
        <v>1447</v>
      </c>
    </row>
    <row r="1186" spans="1:5" x14ac:dyDescent="0.25">
      <c r="A1186" s="36" t="e">
        <f>VLOOKUP($C1186,'Variable Information'!$A$2:$E$480,5,FALSE)</f>
        <v>#N/A</v>
      </c>
      <c r="B1186" s="36" t="e">
        <f>VLOOKUP($C1186,'Variable Information'!$A$1:$C$480,3,FALSE)</f>
        <v>#N/A</v>
      </c>
      <c r="C1186" s="35"/>
      <c r="D1186" s="30" t="s">
        <v>1449</v>
      </c>
      <c r="E1186" s="15" t="s">
        <v>1449</v>
      </c>
    </row>
    <row r="1187" spans="1:5" x14ac:dyDescent="0.25">
      <c r="A1187" s="36" t="e">
        <f>VLOOKUP($C1187,'Variable Information'!$A$2:$E$480,5,FALSE)</f>
        <v>#N/A</v>
      </c>
      <c r="B1187" s="36" t="e">
        <f>VLOOKUP($C1187,'Variable Information'!$A$1:$C$480,3,FALSE)</f>
        <v>#N/A</v>
      </c>
      <c r="C1187" s="35"/>
      <c r="D1187" s="30" t="s">
        <v>1451</v>
      </c>
      <c r="E1187" s="15" t="s">
        <v>1451</v>
      </c>
    </row>
    <row r="1188" spans="1:5" x14ac:dyDescent="0.25">
      <c r="A1188" s="36" t="e">
        <f>VLOOKUP($C1188,'Variable Information'!$A$2:$E$480,5,FALSE)</f>
        <v>#N/A</v>
      </c>
      <c r="B1188" s="36" t="e">
        <f>VLOOKUP($C1188,'Variable Information'!$A$1:$C$480,3,FALSE)</f>
        <v>#N/A</v>
      </c>
      <c r="C1188" s="35"/>
      <c r="D1188" s="30" t="s">
        <v>1456</v>
      </c>
      <c r="E1188" s="15" t="s">
        <v>1456</v>
      </c>
    </row>
    <row r="1189" spans="1:5" x14ac:dyDescent="0.25">
      <c r="A1189" s="36" t="e">
        <f>VLOOKUP($C1189,'Variable Information'!$A$2:$E$480,5,FALSE)</f>
        <v>#N/A</v>
      </c>
      <c r="B1189" s="36" t="e">
        <f>VLOOKUP($C1189,'Variable Information'!$A$1:$C$480,3,FALSE)</f>
        <v>#N/A</v>
      </c>
      <c r="C1189" s="35"/>
      <c r="D1189" s="30" t="s">
        <v>1458</v>
      </c>
      <c r="E1189" s="15" t="s">
        <v>1458</v>
      </c>
    </row>
    <row r="1190" spans="1:5" x14ac:dyDescent="0.25">
      <c r="A1190" s="36" t="e">
        <f>VLOOKUP($C1190,'Variable Information'!$A$2:$E$480,5,FALSE)</f>
        <v>#N/A</v>
      </c>
      <c r="B1190" s="36" t="e">
        <f>VLOOKUP($C1190,'Variable Information'!$A$1:$C$480,3,FALSE)</f>
        <v>#N/A</v>
      </c>
      <c r="C1190" s="35"/>
      <c r="D1190" s="30" t="s">
        <v>1460</v>
      </c>
      <c r="E1190" s="15" t="s">
        <v>1460</v>
      </c>
    </row>
    <row r="1191" spans="1:5" x14ac:dyDescent="0.25">
      <c r="A1191" s="36" t="e">
        <f>VLOOKUP($C1191,'Variable Information'!$A$2:$E$480,5,FALSE)</f>
        <v>#N/A</v>
      </c>
      <c r="B1191" s="36" t="e">
        <f>VLOOKUP($C1191,'Variable Information'!$A$1:$C$480,3,FALSE)</f>
        <v>#N/A</v>
      </c>
      <c r="C1191" s="35"/>
      <c r="D1191" s="30" t="s">
        <v>1462</v>
      </c>
      <c r="E1191" s="15" t="s">
        <v>1462</v>
      </c>
    </row>
    <row r="1192" spans="1:5" x14ac:dyDescent="0.25">
      <c r="A1192" s="36" t="e">
        <f>VLOOKUP($C1192,'Variable Information'!$A$2:$E$480,5,FALSE)</f>
        <v>#N/A</v>
      </c>
      <c r="B1192" s="36" t="e">
        <f>VLOOKUP($C1192,'Variable Information'!$A$1:$C$480,3,FALSE)</f>
        <v>#N/A</v>
      </c>
      <c r="C1192" s="35"/>
      <c r="D1192" s="30" t="s">
        <v>1471</v>
      </c>
      <c r="E1192" s="15" t="s">
        <v>1471</v>
      </c>
    </row>
    <row r="1193" spans="1:5" x14ac:dyDescent="0.25">
      <c r="A1193" s="36" t="e">
        <f>VLOOKUP($C1193,'Variable Information'!$A$2:$E$480,5,FALSE)</f>
        <v>#N/A</v>
      </c>
      <c r="B1193" s="36" t="e">
        <f>VLOOKUP($C1193,'Variable Information'!$A$1:$C$480,3,FALSE)</f>
        <v>#N/A</v>
      </c>
      <c r="C1193" s="35"/>
      <c r="D1193" s="30" t="s">
        <v>1473</v>
      </c>
      <c r="E1193" s="15" t="s">
        <v>1473</v>
      </c>
    </row>
    <row r="1194" spans="1:5" x14ac:dyDescent="0.25">
      <c r="A1194" s="36" t="e">
        <f>VLOOKUP($C1194,'Variable Information'!$A$2:$E$480,5,FALSE)</f>
        <v>#N/A</v>
      </c>
      <c r="B1194" s="36" t="e">
        <f>VLOOKUP($C1194,'Variable Information'!$A$1:$C$480,3,FALSE)</f>
        <v>#N/A</v>
      </c>
      <c r="C1194" s="35"/>
      <c r="D1194" s="30" t="s">
        <v>1475</v>
      </c>
      <c r="E1194" s="15" t="s">
        <v>1475</v>
      </c>
    </row>
    <row r="1195" spans="1:5" x14ac:dyDescent="0.25">
      <c r="A1195" s="36" t="e">
        <f>VLOOKUP($C1195,'Variable Information'!$A$2:$E$480,5,FALSE)</f>
        <v>#N/A</v>
      </c>
      <c r="B1195" s="36" t="e">
        <f>VLOOKUP($C1195,'Variable Information'!$A$1:$C$480,3,FALSE)</f>
        <v>#N/A</v>
      </c>
      <c r="C1195" s="35"/>
      <c r="D1195" s="30" t="s">
        <v>1477</v>
      </c>
      <c r="E1195" s="15" t="s">
        <v>1477</v>
      </c>
    </row>
    <row r="1196" spans="1:5" x14ac:dyDescent="0.25">
      <c r="A1196" s="36" t="e">
        <f>VLOOKUP($C1196,'Variable Information'!$A$2:$E$480,5,FALSE)</f>
        <v>#N/A</v>
      </c>
      <c r="B1196" s="36" t="e">
        <f>VLOOKUP($C1196,'Variable Information'!$A$1:$C$480,3,FALSE)</f>
        <v>#N/A</v>
      </c>
      <c r="C1196" s="35"/>
      <c r="D1196" s="30" t="s">
        <v>1503</v>
      </c>
      <c r="E1196" s="15" t="s">
        <v>1503</v>
      </c>
    </row>
    <row r="1197" spans="1:5" x14ac:dyDescent="0.25">
      <c r="A1197" s="36" t="e">
        <f>VLOOKUP($C1197,'Variable Information'!$A$2:$E$480,5,FALSE)</f>
        <v>#N/A</v>
      </c>
      <c r="B1197" s="36" t="e">
        <f>VLOOKUP($C1197,'Variable Information'!$A$1:$C$480,3,FALSE)</f>
        <v>#N/A</v>
      </c>
      <c r="C1197" s="35"/>
      <c r="D1197" s="30" t="s">
        <v>1524</v>
      </c>
      <c r="E1197" s="15" t="s">
        <v>1524</v>
      </c>
    </row>
    <row r="1198" spans="1:5" x14ac:dyDescent="0.25">
      <c r="A1198" s="36" t="str">
        <f>VLOOKUP($C1198,'Variable Information'!$A$2:$E$480,5,FALSE)</f>
        <v>AJP_N3_rank</v>
      </c>
      <c r="B1198" s="36" t="str">
        <f>VLOOKUP($C1198,'Variable Information'!$A$1:$C$480,3,FALSE)</f>
        <v>Q23_4_14_3. Issue ranking - Conflicts with employer or other employees including discrimination and harassment</v>
      </c>
      <c r="C1198" s="35" t="s">
        <v>557</v>
      </c>
      <c r="D1198" s="30" t="s">
        <v>1447</v>
      </c>
      <c r="E1198" s="15" t="s">
        <v>1447</v>
      </c>
    </row>
    <row r="1199" spans="1:5" x14ac:dyDescent="0.25">
      <c r="A1199" s="36" t="e">
        <f>VLOOKUP($C1199,'Variable Information'!$A$2:$E$480,5,FALSE)</f>
        <v>#N/A</v>
      </c>
      <c r="B1199" s="36" t="e">
        <f>VLOOKUP($C1199,'Variable Information'!$A$1:$C$480,3,FALSE)</f>
        <v>#N/A</v>
      </c>
      <c r="C1199" s="35"/>
      <c r="D1199" s="30" t="s">
        <v>1449</v>
      </c>
      <c r="E1199" s="15" t="s">
        <v>1449</v>
      </c>
    </row>
    <row r="1200" spans="1:5" x14ac:dyDescent="0.25">
      <c r="A1200" s="36" t="e">
        <f>VLOOKUP($C1200,'Variable Information'!$A$2:$E$480,5,FALSE)</f>
        <v>#N/A</v>
      </c>
      <c r="B1200" s="36" t="e">
        <f>VLOOKUP($C1200,'Variable Information'!$A$1:$C$480,3,FALSE)</f>
        <v>#N/A</v>
      </c>
      <c r="C1200" s="35"/>
      <c r="D1200" s="30" t="s">
        <v>1451</v>
      </c>
      <c r="E1200" s="15" t="s">
        <v>1451</v>
      </c>
    </row>
    <row r="1201" spans="1:5" x14ac:dyDescent="0.25">
      <c r="A1201" s="36" t="e">
        <f>VLOOKUP($C1201,'Variable Information'!$A$2:$E$480,5,FALSE)</f>
        <v>#N/A</v>
      </c>
      <c r="B1201" s="36" t="e">
        <f>VLOOKUP($C1201,'Variable Information'!$A$1:$C$480,3,FALSE)</f>
        <v>#N/A</v>
      </c>
      <c r="C1201" s="35"/>
      <c r="D1201" s="30" t="s">
        <v>1456</v>
      </c>
      <c r="E1201" s="15" t="s">
        <v>1456</v>
      </c>
    </row>
    <row r="1202" spans="1:5" x14ac:dyDescent="0.25">
      <c r="A1202" s="36" t="e">
        <f>VLOOKUP($C1202,'Variable Information'!$A$2:$E$480,5,FALSE)</f>
        <v>#N/A</v>
      </c>
      <c r="B1202" s="36" t="e">
        <f>VLOOKUP($C1202,'Variable Information'!$A$1:$C$480,3,FALSE)</f>
        <v>#N/A</v>
      </c>
      <c r="C1202" s="35"/>
      <c r="D1202" s="30" t="s">
        <v>1458</v>
      </c>
      <c r="E1202" s="15" t="s">
        <v>1458</v>
      </c>
    </row>
    <row r="1203" spans="1:5" x14ac:dyDescent="0.25">
      <c r="A1203" s="36" t="e">
        <f>VLOOKUP($C1203,'Variable Information'!$A$2:$E$480,5,FALSE)</f>
        <v>#N/A</v>
      </c>
      <c r="B1203" s="36" t="e">
        <f>VLOOKUP($C1203,'Variable Information'!$A$1:$C$480,3,FALSE)</f>
        <v>#N/A</v>
      </c>
      <c r="C1203" s="35"/>
      <c r="D1203" s="30" t="s">
        <v>1460</v>
      </c>
      <c r="E1203" s="15" t="s">
        <v>1460</v>
      </c>
    </row>
    <row r="1204" spans="1:5" x14ac:dyDescent="0.25">
      <c r="A1204" s="36" t="e">
        <f>VLOOKUP($C1204,'Variable Information'!$A$2:$E$480,5,FALSE)</f>
        <v>#N/A</v>
      </c>
      <c r="B1204" s="36" t="e">
        <f>VLOOKUP($C1204,'Variable Information'!$A$1:$C$480,3,FALSE)</f>
        <v>#N/A</v>
      </c>
      <c r="C1204" s="35"/>
      <c r="D1204" s="30" t="s">
        <v>1462</v>
      </c>
      <c r="E1204" s="15" t="s">
        <v>1462</v>
      </c>
    </row>
    <row r="1205" spans="1:5" x14ac:dyDescent="0.25">
      <c r="A1205" s="36" t="e">
        <f>VLOOKUP($C1205,'Variable Information'!$A$2:$E$480,5,FALSE)</f>
        <v>#N/A</v>
      </c>
      <c r="B1205" s="36" t="e">
        <f>VLOOKUP($C1205,'Variable Information'!$A$1:$C$480,3,FALSE)</f>
        <v>#N/A</v>
      </c>
      <c r="C1205" s="35"/>
      <c r="D1205" s="30" t="s">
        <v>1471</v>
      </c>
      <c r="E1205" s="15" t="s">
        <v>1471</v>
      </c>
    </row>
    <row r="1206" spans="1:5" x14ac:dyDescent="0.25">
      <c r="A1206" s="36" t="e">
        <f>VLOOKUP($C1206,'Variable Information'!$A$2:$E$480,5,FALSE)</f>
        <v>#N/A</v>
      </c>
      <c r="B1206" s="36" t="e">
        <f>VLOOKUP($C1206,'Variable Information'!$A$1:$C$480,3,FALSE)</f>
        <v>#N/A</v>
      </c>
      <c r="C1206" s="35"/>
      <c r="D1206" s="30" t="s">
        <v>1473</v>
      </c>
      <c r="E1206" s="15" t="s">
        <v>1473</v>
      </c>
    </row>
    <row r="1207" spans="1:5" x14ac:dyDescent="0.25">
      <c r="A1207" s="36" t="e">
        <f>VLOOKUP($C1207,'Variable Information'!$A$2:$E$480,5,FALSE)</f>
        <v>#N/A</v>
      </c>
      <c r="B1207" s="36" t="e">
        <f>VLOOKUP($C1207,'Variable Information'!$A$1:$C$480,3,FALSE)</f>
        <v>#N/A</v>
      </c>
      <c r="C1207" s="35"/>
      <c r="D1207" s="30" t="s">
        <v>1475</v>
      </c>
      <c r="E1207" s="15" t="s">
        <v>1475</v>
      </c>
    </row>
    <row r="1208" spans="1:5" x14ac:dyDescent="0.25">
      <c r="A1208" s="36" t="e">
        <f>VLOOKUP($C1208,'Variable Information'!$A$2:$E$480,5,FALSE)</f>
        <v>#N/A</v>
      </c>
      <c r="B1208" s="36" t="e">
        <f>VLOOKUP($C1208,'Variable Information'!$A$1:$C$480,3,FALSE)</f>
        <v>#N/A</v>
      </c>
      <c r="C1208" s="35"/>
      <c r="D1208" s="30" t="s">
        <v>1477</v>
      </c>
      <c r="E1208" s="15" t="s">
        <v>1477</v>
      </c>
    </row>
    <row r="1209" spans="1:5" x14ac:dyDescent="0.25">
      <c r="A1209" s="36" t="e">
        <f>VLOOKUP($C1209,'Variable Information'!$A$2:$E$480,5,FALSE)</f>
        <v>#N/A</v>
      </c>
      <c r="B1209" s="36" t="e">
        <f>VLOOKUP($C1209,'Variable Information'!$A$1:$C$480,3,FALSE)</f>
        <v>#N/A</v>
      </c>
      <c r="C1209" s="35"/>
      <c r="D1209" s="30" t="s">
        <v>1503</v>
      </c>
      <c r="E1209" s="15" t="s">
        <v>1503</v>
      </c>
    </row>
    <row r="1210" spans="1:5" x14ac:dyDescent="0.25">
      <c r="A1210" s="36" t="e">
        <f>VLOOKUP($C1210,'Variable Information'!$A$2:$E$480,5,FALSE)</f>
        <v>#N/A</v>
      </c>
      <c r="B1210" s="36" t="e">
        <f>VLOOKUP($C1210,'Variable Information'!$A$1:$C$480,3,FALSE)</f>
        <v>#N/A</v>
      </c>
      <c r="C1210" s="35"/>
      <c r="D1210" s="30" t="s">
        <v>1524</v>
      </c>
      <c r="E1210" s="15" t="s">
        <v>1524</v>
      </c>
    </row>
    <row r="1211" spans="1:5" x14ac:dyDescent="0.25">
      <c r="A1211" s="36" t="str">
        <f>VLOOKUP($C1211,'Variable Information'!$A$2:$E$480,5,FALSE)</f>
        <v>AJP_N4_rank</v>
      </c>
      <c r="B1211" s="36" t="str">
        <f>VLOOKUP($C1211,'Variable Information'!$A$1:$C$480,3,FALSE)</f>
        <v>Q23_4_14_4. Issue ranking - Other employment-related disputes</v>
      </c>
      <c r="C1211" s="35" t="s">
        <v>560</v>
      </c>
      <c r="D1211" s="30" t="s">
        <v>1447</v>
      </c>
      <c r="E1211" s="15" t="s">
        <v>1447</v>
      </c>
    </row>
    <row r="1212" spans="1:5" x14ac:dyDescent="0.25">
      <c r="A1212" s="36" t="e">
        <f>VLOOKUP($C1212,'Variable Information'!$A$2:$E$480,5,FALSE)</f>
        <v>#N/A</v>
      </c>
      <c r="B1212" s="36" t="e">
        <f>VLOOKUP($C1212,'Variable Information'!$A$1:$C$480,3,FALSE)</f>
        <v>#N/A</v>
      </c>
      <c r="C1212" s="35"/>
      <c r="D1212" s="30" t="s">
        <v>1449</v>
      </c>
      <c r="E1212" s="15" t="s">
        <v>1449</v>
      </c>
    </row>
    <row r="1213" spans="1:5" x14ac:dyDescent="0.25">
      <c r="A1213" s="36" t="e">
        <f>VLOOKUP($C1213,'Variable Information'!$A$2:$E$480,5,FALSE)</f>
        <v>#N/A</v>
      </c>
      <c r="B1213" s="36" t="e">
        <f>VLOOKUP($C1213,'Variable Information'!$A$1:$C$480,3,FALSE)</f>
        <v>#N/A</v>
      </c>
      <c r="C1213" s="35"/>
      <c r="D1213" s="30" t="s">
        <v>1451</v>
      </c>
      <c r="E1213" s="15" t="s">
        <v>1451</v>
      </c>
    </row>
    <row r="1214" spans="1:5" x14ac:dyDescent="0.25">
      <c r="A1214" s="36" t="e">
        <f>VLOOKUP($C1214,'Variable Information'!$A$2:$E$480,5,FALSE)</f>
        <v>#N/A</v>
      </c>
      <c r="B1214" s="36" t="e">
        <f>VLOOKUP($C1214,'Variable Information'!$A$1:$C$480,3,FALSE)</f>
        <v>#N/A</v>
      </c>
      <c r="C1214" s="35"/>
      <c r="D1214" s="30" t="s">
        <v>1456</v>
      </c>
      <c r="E1214" s="15" t="s">
        <v>1456</v>
      </c>
    </row>
    <row r="1215" spans="1:5" x14ac:dyDescent="0.25">
      <c r="A1215" s="36" t="e">
        <f>VLOOKUP($C1215,'Variable Information'!$A$2:$E$480,5,FALSE)</f>
        <v>#N/A</v>
      </c>
      <c r="B1215" s="36" t="e">
        <f>VLOOKUP($C1215,'Variable Information'!$A$1:$C$480,3,FALSE)</f>
        <v>#N/A</v>
      </c>
      <c r="C1215" s="35"/>
      <c r="D1215" s="30" t="s">
        <v>1458</v>
      </c>
      <c r="E1215" s="15" t="s">
        <v>1458</v>
      </c>
    </row>
    <row r="1216" spans="1:5" x14ac:dyDescent="0.25">
      <c r="A1216" s="36" t="e">
        <f>VLOOKUP($C1216,'Variable Information'!$A$2:$E$480,5,FALSE)</f>
        <v>#N/A</v>
      </c>
      <c r="B1216" s="36" t="e">
        <f>VLOOKUP($C1216,'Variable Information'!$A$1:$C$480,3,FALSE)</f>
        <v>#N/A</v>
      </c>
      <c r="C1216" s="35"/>
      <c r="D1216" s="30" t="s">
        <v>1460</v>
      </c>
      <c r="E1216" s="15" t="s">
        <v>1460</v>
      </c>
    </row>
    <row r="1217" spans="1:5" x14ac:dyDescent="0.25">
      <c r="A1217" s="36" t="e">
        <f>VLOOKUP($C1217,'Variable Information'!$A$2:$E$480,5,FALSE)</f>
        <v>#N/A</v>
      </c>
      <c r="B1217" s="36" t="e">
        <f>VLOOKUP($C1217,'Variable Information'!$A$1:$C$480,3,FALSE)</f>
        <v>#N/A</v>
      </c>
      <c r="C1217" s="35"/>
      <c r="D1217" s="30" t="s">
        <v>1462</v>
      </c>
      <c r="E1217" s="15" t="s">
        <v>1462</v>
      </c>
    </row>
    <row r="1218" spans="1:5" x14ac:dyDescent="0.25">
      <c r="A1218" s="36" t="e">
        <f>VLOOKUP($C1218,'Variable Information'!$A$2:$E$480,5,FALSE)</f>
        <v>#N/A</v>
      </c>
      <c r="B1218" s="36" t="e">
        <f>VLOOKUP($C1218,'Variable Information'!$A$1:$C$480,3,FALSE)</f>
        <v>#N/A</v>
      </c>
      <c r="C1218" s="35"/>
      <c r="D1218" s="30" t="s">
        <v>1471</v>
      </c>
      <c r="E1218" s="15" t="s">
        <v>1471</v>
      </c>
    </row>
    <row r="1219" spans="1:5" x14ac:dyDescent="0.25">
      <c r="A1219" s="36" t="e">
        <f>VLOOKUP($C1219,'Variable Information'!$A$2:$E$480,5,FALSE)</f>
        <v>#N/A</v>
      </c>
      <c r="B1219" s="36" t="e">
        <f>VLOOKUP($C1219,'Variable Information'!$A$1:$C$480,3,FALSE)</f>
        <v>#N/A</v>
      </c>
      <c r="C1219" s="35"/>
      <c r="D1219" s="30" t="s">
        <v>1473</v>
      </c>
      <c r="E1219" s="15" t="s">
        <v>1473</v>
      </c>
    </row>
    <row r="1220" spans="1:5" x14ac:dyDescent="0.25">
      <c r="A1220" s="36" t="e">
        <f>VLOOKUP($C1220,'Variable Information'!$A$2:$E$480,5,FALSE)</f>
        <v>#N/A</v>
      </c>
      <c r="B1220" s="36" t="e">
        <f>VLOOKUP($C1220,'Variable Information'!$A$1:$C$480,3,FALSE)</f>
        <v>#N/A</v>
      </c>
      <c r="C1220" s="35"/>
      <c r="D1220" s="30" t="s">
        <v>1475</v>
      </c>
      <c r="E1220" s="15" t="s">
        <v>1475</v>
      </c>
    </row>
    <row r="1221" spans="1:5" x14ac:dyDescent="0.25">
      <c r="A1221" s="36" t="e">
        <f>VLOOKUP($C1221,'Variable Information'!$A$2:$E$480,5,FALSE)</f>
        <v>#N/A</v>
      </c>
      <c r="B1221" s="36" t="e">
        <f>VLOOKUP($C1221,'Variable Information'!$A$1:$C$480,3,FALSE)</f>
        <v>#N/A</v>
      </c>
      <c r="C1221" s="35"/>
      <c r="D1221" s="30" t="s">
        <v>1477</v>
      </c>
      <c r="E1221" s="15" t="s">
        <v>1477</v>
      </c>
    </row>
    <row r="1222" spans="1:5" x14ac:dyDescent="0.25">
      <c r="A1222" s="36" t="e">
        <f>VLOOKUP($C1222,'Variable Information'!$A$2:$E$480,5,FALSE)</f>
        <v>#N/A</v>
      </c>
      <c r="B1222" s="36" t="e">
        <f>VLOOKUP($C1222,'Variable Information'!$A$1:$C$480,3,FALSE)</f>
        <v>#N/A</v>
      </c>
      <c r="C1222" s="35"/>
      <c r="D1222" s="30" t="s">
        <v>1503</v>
      </c>
      <c r="E1222" s="15" t="s">
        <v>1503</v>
      </c>
    </row>
    <row r="1223" spans="1:5" x14ac:dyDescent="0.25">
      <c r="A1223" s="36" t="e">
        <f>VLOOKUP($C1223,'Variable Information'!$A$2:$E$480,5,FALSE)</f>
        <v>#N/A</v>
      </c>
      <c r="B1223" s="36" t="e">
        <f>VLOOKUP($C1223,'Variable Information'!$A$1:$C$480,3,FALSE)</f>
        <v>#N/A</v>
      </c>
      <c r="C1223" s="35"/>
      <c r="D1223" s="30" t="s">
        <v>1524</v>
      </c>
      <c r="E1223" s="15" t="s">
        <v>1524</v>
      </c>
    </row>
    <row r="1224" spans="1:5" ht="30" x14ac:dyDescent="0.25">
      <c r="A1224" s="36" t="str">
        <f>VLOOKUP($C1224,'Variable Information'!$A$2:$E$480,5,FALSE)</f>
        <v>AJP_problem</v>
      </c>
      <c r="B1224" s="36" t="str">
        <f>VLOOKUP($C1224,'Variable Information'!$A$1:$C$480,3,FALSE)</f>
        <v>Q23_4. Recent Issue Selected</v>
      </c>
      <c r="C1224" s="35" t="s">
        <v>563</v>
      </c>
      <c r="D1224" s="30" t="s">
        <v>1447</v>
      </c>
      <c r="E1224" s="15" t="s">
        <v>1575</v>
      </c>
    </row>
    <row r="1225" spans="1:5" x14ac:dyDescent="0.25">
      <c r="A1225" s="36" t="e">
        <f>VLOOKUP($C1225,'Variable Information'!$A$2:$E$480,5,FALSE)</f>
        <v>#N/A</v>
      </c>
      <c r="B1225" s="36" t="e">
        <f>VLOOKUP($C1225,'Variable Information'!$A$1:$C$480,3,FALSE)</f>
        <v>#N/A</v>
      </c>
      <c r="C1225" s="35"/>
      <c r="D1225" s="30" t="s">
        <v>1449</v>
      </c>
      <c r="E1225" s="15" t="s">
        <v>1576</v>
      </c>
    </row>
    <row r="1226" spans="1:5" x14ac:dyDescent="0.25">
      <c r="A1226" s="36" t="e">
        <f>VLOOKUP($C1226,'Variable Information'!$A$2:$E$480,5,FALSE)</f>
        <v>#N/A</v>
      </c>
      <c r="B1226" s="36" t="e">
        <f>VLOOKUP($C1226,'Variable Information'!$A$1:$C$480,3,FALSE)</f>
        <v>#N/A</v>
      </c>
      <c r="C1226" s="35"/>
      <c r="D1226" s="30" t="s">
        <v>1451</v>
      </c>
      <c r="E1226" s="15" t="s">
        <v>1577</v>
      </c>
    </row>
    <row r="1227" spans="1:5" x14ac:dyDescent="0.25">
      <c r="A1227" s="36" t="e">
        <f>VLOOKUP($C1227,'Variable Information'!$A$2:$E$480,5,FALSE)</f>
        <v>#N/A</v>
      </c>
      <c r="B1227" s="36" t="e">
        <f>VLOOKUP($C1227,'Variable Information'!$A$1:$C$480,3,FALSE)</f>
        <v>#N/A</v>
      </c>
      <c r="C1227" s="35"/>
      <c r="D1227" s="30" t="s">
        <v>1456</v>
      </c>
      <c r="E1227" s="15" t="s">
        <v>1578</v>
      </c>
    </row>
    <row r="1228" spans="1:5" x14ac:dyDescent="0.25">
      <c r="A1228" s="36" t="e">
        <f>VLOOKUP($C1228,'Variable Information'!$A$2:$E$480,5,FALSE)</f>
        <v>#N/A</v>
      </c>
      <c r="B1228" s="36" t="e">
        <f>VLOOKUP($C1228,'Variable Information'!$A$1:$C$480,3,FALSE)</f>
        <v>#N/A</v>
      </c>
      <c r="C1228" s="35"/>
      <c r="D1228" s="30" t="s">
        <v>1458</v>
      </c>
      <c r="E1228" s="15" t="s">
        <v>1579</v>
      </c>
    </row>
    <row r="1229" spans="1:5" ht="30" x14ac:dyDescent="0.25">
      <c r="A1229" s="36" t="e">
        <f>VLOOKUP($C1229,'Variable Information'!$A$2:$E$480,5,FALSE)</f>
        <v>#N/A</v>
      </c>
      <c r="B1229" s="36" t="e">
        <f>VLOOKUP($C1229,'Variable Information'!$A$1:$C$480,3,FALSE)</f>
        <v>#N/A</v>
      </c>
      <c r="C1229" s="35"/>
      <c r="D1229" s="30" t="s">
        <v>1460</v>
      </c>
      <c r="E1229" s="15" t="s">
        <v>1580</v>
      </c>
    </row>
    <row r="1230" spans="1:5" x14ac:dyDescent="0.25">
      <c r="A1230" s="36" t="e">
        <f>VLOOKUP($C1230,'Variable Information'!$A$2:$E$480,5,FALSE)</f>
        <v>#N/A</v>
      </c>
      <c r="B1230" s="36" t="e">
        <f>VLOOKUP($C1230,'Variable Information'!$A$1:$C$480,3,FALSE)</f>
        <v>#N/A</v>
      </c>
      <c r="C1230" s="35"/>
      <c r="D1230" s="30" t="s">
        <v>1462</v>
      </c>
      <c r="E1230" s="15" t="s">
        <v>1581</v>
      </c>
    </row>
    <row r="1231" spans="1:5" ht="30" x14ac:dyDescent="0.25">
      <c r="A1231" s="36" t="e">
        <f>VLOOKUP($C1231,'Variable Information'!$A$2:$E$480,5,FALSE)</f>
        <v>#N/A</v>
      </c>
      <c r="B1231" s="36" t="e">
        <f>VLOOKUP($C1231,'Variable Information'!$A$1:$C$480,3,FALSE)</f>
        <v>#N/A</v>
      </c>
      <c r="C1231" s="35"/>
      <c r="D1231" s="30" t="s">
        <v>1471</v>
      </c>
      <c r="E1231" s="15" t="s">
        <v>1582</v>
      </c>
    </row>
    <row r="1232" spans="1:5" x14ac:dyDescent="0.25">
      <c r="A1232" s="36" t="e">
        <f>VLOOKUP($C1232,'Variable Information'!$A$2:$E$480,5,FALSE)</f>
        <v>#N/A</v>
      </c>
      <c r="B1232" s="36" t="e">
        <f>VLOOKUP($C1232,'Variable Information'!$A$1:$C$480,3,FALSE)</f>
        <v>#N/A</v>
      </c>
      <c r="C1232" s="35"/>
      <c r="D1232" s="30" t="s">
        <v>1473</v>
      </c>
      <c r="E1232" s="15" t="s">
        <v>1583</v>
      </c>
    </row>
    <row r="1233" spans="1:5" x14ac:dyDescent="0.25">
      <c r="A1233" s="36" t="e">
        <f>VLOOKUP($C1233,'Variable Information'!$A$2:$E$480,5,FALSE)</f>
        <v>#N/A</v>
      </c>
      <c r="B1233" s="36" t="e">
        <f>VLOOKUP($C1233,'Variable Information'!$A$1:$C$480,3,FALSE)</f>
        <v>#N/A</v>
      </c>
      <c r="C1233" s="35"/>
      <c r="D1233" s="30" t="s">
        <v>1475</v>
      </c>
      <c r="E1233" s="15" t="s">
        <v>1584</v>
      </c>
    </row>
    <row r="1234" spans="1:5" x14ac:dyDescent="0.25">
      <c r="A1234" s="36" t="e">
        <f>VLOOKUP($C1234,'Variable Information'!$A$2:$E$480,5,FALSE)</f>
        <v>#N/A</v>
      </c>
      <c r="B1234" s="36" t="e">
        <f>VLOOKUP($C1234,'Variable Information'!$A$1:$C$480,3,FALSE)</f>
        <v>#N/A</v>
      </c>
      <c r="C1234" s="35"/>
      <c r="D1234" s="30" t="s">
        <v>1477</v>
      </c>
      <c r="E1234" s="15" t="s">
        <v>1585</v>
      </c>
    </row>
    <row r="1235" spans="1:5" ht="30" x14ac:dyDescent="0.25">
      <c r="A1235" s="36" t="e">
        <f>VLOOKUP($C1235,'Variable Information'!$A$2:$E$480,5,FALSE)</f>
        <v>#N/A</v>
      </c>
      <c r="B1235" s="36" t="e">
        <f>VLOOKUP($C1235,'Variable Information'!$A$1:$C$480,3,FALSE)</f>
        <v>#N/A</v>
      </c>
      <c r="C1235" s="35"/>
      <c r="D1235" s="30" t="s">
        <v>1503</v>
      </c>
      <c r="E1235" s="15" t="s">
        <v>1586</v>
      </c>
    </row>
    <row r="1236" spans="1:5" x14ac:dyDescent="0.25">
      <c r="A1236" s="36" t="e">
        <f>VLOOKUP($C1236,'Variable Information'!$A$2:$E$480,5,FALSE)</f>
        <v>#N/A</v>
      </c>
      <c r="B1236" s="36" t="e">
        <f>VLOOKUP($C1236,'Variable Information'!$A$1:$C$480,3,FALSE)</f>
        <v>#N/A</v>
      </c>
      <c r="C1236" s="35"/>
      <c r="D1236" s="30" t="s">
        <v>1524</v>
      </c>
      <c r="E1236" s="15" t="s">
        <v>1587</v>
      </c>
    </row>
    <row r="1237" spans="1:5" x14ac:dyDescent="0.25">
      <c r="A1237" s="36" t="e">
        <f>VLOOKUP($C1237,'Variable Information'!$A$2:$E$480,5,FALSE)</f>
        <v>#N/A</v>
      </c>
      <c r="B1237" s="36" t="e">
        <f>VLOOKUP($C1237,'Variable Information'!$A$1:$C$480,3,FALSE)</f>
        <v>#N/A</v>
      </c>
      <c r="C1237" s="35"/>
      <c r="D1237" s="30" t="s">
        <v>1526</v>
      </c>
      <c r="E1237" s="15" t="s">
        <v>1588</v>
      </c>
    </row>
    <row r="1238" spans="1:5" x14ac:dyDescent="0.25">
      <c r="A1238" s="36" t="e">
        <f>VLOOKUP($C1238,'Variable Information'!$A$2:$E$480,5,FALSE)</f>
        <v>#N/A</v>
      </c>
      <c r="B1238" s="36" t="e">
        <f>VLOOKUP($C1238,'Variable Information'!$A$1:$C$480,3,FALSE)</f>
        <v>#N/A</v>
      </c>
      <c r="C1238" s="35"/>
      <c r="D1238" s="30" t="s">
        <v>1528</v>
      </c>
      <c r="E1238" s="15" t="s">
        <v>1589</v>
      </c>
    </row>
    <row r="1239" spans="1:5" ht="30" x14ac:dyDescent="0.25">
      <c r="A1239" s="36" t="e">
        <f>VLOOKUP($C1239,'Variable Information'!$A$2:$E$480,5,FALSE)</f>
        <v>#N/A</v>
      </c>
      <c r="B1239" s="36" t="e">
        <f>VLOOKUP($C1239,'Variable Information'!$A$1:$C$480,3,FALSE)</f>
        <v>#N/A</v>
      </c>
      <c r="C1239" s="35"/>
      <c r="D1239" s="30" t="s">
        <v>1530</v>
      </c>
      <c r="E1239" s="15" t="s">
        <v>1590</v>
      </c>
    </row>
    <row r="1240" spans="1:5" ht="30" x14ac:dyDescent="0.25">
      <c r="A1240" s="36" t="e">
        <f>VLOOKUP($C1240,'Variable Information'!$A$2:$E$480,5,FALSE)</f>
        <v>#N/A</v>
      </c>
      <c r="B1240" s="36" t="e">
        <f>VLOOKUP($C1240,'Variable Information'!$A$1:$C$480,3,FALSE)</f>
        <v>#N/A</v>
      </c>
      <c r="C1240" s="35"/>
      <c r="D1240" s="30" t="s">
        <v>1532</v>
      </c>
      <c r="E1240" s="15" t="s">
        <v>1591</v>
      </c>
    </row>
    <row r="1241" spans="1:5" x14ac:dyDescent="0.25">
      <c r="A1241" s="36" t="e">
        <f>VLOOKUP($C1241,'Variable Information'!$A$2:$E$480,5,FALSE)</f>
        <v>#N/A</v>
      </c>
      <c r="B1241" s="36" t="e">
        <f>VLOOKUP($C1241,'Variable Information'!$A$1:$C$480,3,FALSE)</f>
        <v>#N/A</v>
      </c>
      <c r="C1241" s="35"/>
      <c r="D1241" s="30" t="s">
        <v>1534</v>
      </c>
      <c r="E1241" s="15" t="s">
        <v>1592</v>
      </c>
    </row>
    <row r="1242" spans="1:5" x14ac:dyDescent="0.25">
      <c r="A1242" s="36" t="e">
        <f>VLOOKUP($C1242,'Variable Information'!$A$2:$E$480,5,FALSE)</f>
        <v>#N/A</v>
      </c>
      <c r="B1242" s="36" t="e">
        <f>VLOOKUP($C1242,'Variable Information'!$A$1:$C$480,3,FALSE)</f>
        <v>#N/A</v>
      </c>
      <c r="C1242" s="35"/>
      <c r="D1242" s="30" t="s">
        <v>1536</v>
      </c>
      <c r="E1242" s="15" t="s">
        <v>1593</v>
      </c>
    </row>
    <row r="1243" spans="1:5" x14ac:dyDescent="0.25">
      <c r="A1243" s="36" t="e">
        <f>VLOOKUP($C1243,'Variable Information'!$A$2:$E$480,5,FALSE)</f>
        <v>#N/A</v>
      </c>
      <c r="B1243" s="36" t="e">
        <f>VLOOKUP($C1243,'Variable Information'!$A$1:$C$480,3,FALSE)</f>
        <v>#N/A</v>
      </c>
      <c r="C1243" s="35"/>
      <c r="D1243" s="30" t="s">
        <v>1538</v>
      </c>
      <c r="E1243" s="15" t="s">
        <v>1594</v>
      </c>
    </row>
    <row r="1244" spans="1:5" x14ac:dyDescent="0.25">
      <c r="A1244" s="36" t="e">
        <f>VLOOKUP($C1244,'Variable Information'!$A$2:$E$480,5,FALSE)</f>
        <v>#N/A</v>
      </c>
      <c r="B1244" s="36" t="e">
        <f>VLOOKUP($C1244,'Variable Information'!$A$1:$C$480,3,FALSE)</f>
        <v>#N/A</v>
      </c>
      <c r="C1244" s="35"/>
      <c r="D1244" s="30" t="s">
        <v>1540</v>
      </c>
      <c r="E1244" s="15" t="s">
        <v>1595</v>
      </c>
    </row>
    <row r="1245" spans="1:5" x14ac:dyDescent="0.25">
      <c r="A1245" s="36" t="e">
        <f>VLOOKUP($C1245,'Variable Information'!$A$2:$E$480,5,FALSE)</f>
        <v>#N/A</v>
      </c>
      <c r="B1245" s="36" t="e">
        <f>VLOOKUP($C1245,'Variable Information'!$A$1:$C$480,3,FALSE)</f>
        <v>#N/A</v>
      </c>
      <c r="C1245" s="35"/>
      <c r="D1245" s="30" t="s">
        <v>1542</v>
      </c>
      <c r="E1245" s="15" t="s">
        <v>1596</v>
      </c>
    </row>
    <row r="1246" spans="1:5" x14ac:dyDescent="0.25">
      <c r="A1246" s="36" t="e">
        <f>VLOOKUP($C1246,'Variable Information'!$A$2:$E$480,5,FALSE)</f>
        <v>#N/A</v>
      </c>
      <c r="B1246" s="36" t="e">
        <f>VLOOKUP($C1246,'Variable Information'!$A$1:$C$480,3,FALSE)</f>
        <v>#N/A</v>
      </c>
      <c r="C1246" s="35"/>
      <c r="D1246" s="30" t="s">
        <v>1544</v>
      </c>
      <c r="E1246" s="15" t="s">
        <v>1597</v>
      </c>
    </row>
    <row r="1247" spans="1:5" x14ac:dyDescent="0.25">
      <c r="A1247" s="36" t="e">
        <f>VLOOKUP($C1247,'Variable Information'!$A$2:$E$480,5,FALSE)</f>
        <v>#N/A</v>
      </c>
      <c r="B1247" s="36" t="e">
        <f>VLOOKUP($C1247,'Variable Information'!$A$1:$C$480,3,FALSE)</f>
        <v>#N/A</v>
      </c>
      <c r="C1247" s="35"/>
      <c r="D1247" s="30" t="s">
        <v>1546</v>
      </c>
      <c r="E1247" s="15" t="s">
        <v>1598</v>
      </c>
    </row>
    <row r="1248" spans="1:5" ht="30" x14ac:dyDescent="0.25">
      <c r="A1248" s="36" t="e">
        <f>VLOOKUP($C1248,'Variable Information'!$A$2:$E$480,5,FALSE)</f>
        <v>#N/A</v>
      </c>
      <c r="B1248" s="36" t="e">
        <f>VLOOKUP($C1248,'Variable Information'!$A$1:$C$480,3,FALSE)</f>
        <v>#N/A</v>
      </c>
      <c r="C1248" s="35"/>
      <c r="D1248" s="30" t="s">
        <v>1548</v>
      </c>
      <c r="E1248" s="15" t="s">
        <v>1599</v>
      </c>
    </row>
    <row r="1249" spans="1:5" x14ac:dyDescent="0.25">
      <c r="A1249" s="36" t="e">
        <f>VLOOKUP($C1249,'Variable Information'!$A$2:$E$480,5,FALSE)</f>
        <v>#N/A</v>
      </c>
      <c r="B1249" s="36" t="e">
        <f>VLOOKUP($C1249,'Variable Information'!$A$1:$C$480,3,FALSE)</f>
        <v>#N/A</v>
      </c>
      <c r="C1249" s="35"/>
      <c r="D1249" s="30" t="s">
        <v>1550</v>
      </c>
      <c r="E1249" s="15" t="s">
        <v>1600</v>
      </c>
    </row>
    <row r="1250" spans="1:5" x14ac:dyDescent="0.25">
      <c r="A1250" s="36" t="e">
        <f>VLOOKUP($C1250,'Variable Information'!$A$2:$E$480,5,FALSE)</f>
        <v>#N/A</v>
      </c>
      <c r="B1250" s="36" t="e">
        <f>VLOOKUP($C1250,'Variable Information'!$A$1:$C$480,3,FALSE)</f>
        <v>#N/A</v>
      </c>
      <c r="C1250" s="35"/>
      <c r="D1250" s="30" t="s">
        <v>1552</v>
      </c>
      <c r="E1250" s="15" t="s">
        <v>1601</v>
      </c>
    </row>
    <row r="1251" spans="1:5" x14ac:dyDescent="0.25">
      <c r="A1251" s="36" t="e">
        <f>VLOOKUP($C1251,'Variable Information'!$A$2:$E$480,5,FALSE)</f>
        <v>#N/A</v>
      </c>
      <c r="B1251" s="36" t="e">
        <f>VLOOKUP($C1251,'Variable Information'!$A$1:$C$480,3,FALSE)</f>
        <v>#N/A</v>
      </c>
      <c r="C1251" s="35"/>
      <c r="D1251" s="30" t="s">
        <v>1602</v>
      </c>
      <c r="E1251" s="15" t="s">
        <v>1603</v>
      </c>
    </row>
    <row r="1252" spans="1:5" ht="30" x14ac:dyDescent="0.25">
      <c r="A1252" s="36" t="e">
        <f>VLOOKUP($C1252,'Variable Information'!$A$2:$E$480,5,FALSE)</f>
        <v>#N/A</v>
      </c>
      <c r="B1252" s="36" t="e">
        <f>VLOOKUP($C1252,'Variable Information'!$A$1:$C$480,3,FALSE)</f>
        <v>#N/A</v>
      </c>
      <c r="C1252" s="35"/>
      <c r="D1252" s="30" t="s">
        <v>1604</v>
      </c>
      <c r="E1252" s="15" t="s">
        <v>1605</v>
      </c>
    </row>
    <row r="1253" spans="1:5" ht="30" x14ac:dyDescent="0.25">
      <c r="A1253" s="36" t="e">
        <f>VLOOKUP($C1253,'Variable Information'!$A$2:$E$480,5,FALSE)</f>
        <v>#N/A</v>
      </c>
      <c r="B1253" s="36" t="e">
        <f>VLOOKUP($C1253,'Variable Information'!$A$1:$C$480,3,FALSE)</f>
        <v>#N/A</v>
      </c>
      <c r="C1253" s="35"/>
      <c r="D1253" s="30" t="s">
        <v>1606</v>
      </c>
      <c r="E1253" s="15" t="s">
        <v>1607</v>
      </c>
    </row>
    <row r="1254" spans="1:5" x14ac:dyDescent="0.25">
      <c r="A1254" s="36" t="e">
        <f>VLOOKUP($C1254,'Variable Information'!$A$2:$E$480,5,FALSE)</f>
        <v>#N/A</v>
      </c>
      <c r="B1254" s="36" t="e">
        <f>VLOOKUP($C1254,'Variable Information'!$A$1:$C$480,3,FALSE)</f>
        <v>#N/A</v>
      </c>
      <c r="C1254" s="35"/>
      <c r="D1254" s="30" t="s">
        <v>1608</v>
      </c>
      <c r="E1254" s="15" t="s">
        <v>1609</v>
      </c>
    </row>
    <row r="1255" spans="1:5" x14ac:dyDescent="0.25">
      <c r="A1255" s="36" t="e">
        <f>VLOOKUP($C1255,'Variable Information'!$A$2:$E$480,5,FALSE)</f>
        <v>#N/A</v>
      </c>
      <c r="B1255" s="36" t="e">
        <f>VLOOKUP($C1255,'Variable Information'!$A$1:$C$480,3,FALSE)</f>
        <v>#N/A</v>
      </c>
      <c r="C1255" s="35"/>
      <c r="D1255" s="30" t="s">
        <v>1610</v>
      </c>
      <c r="E1255" s="15" t="s">
        <v>1611</v>
      </c>
    </row>
    <row r="1256" spans="1:5" x14ac:dyDescent="0.25">
      <c r="A1256" s="36" t="e">
        <f>VLOOKUP($C1256,'Variable Information'!$A$2:$E$480,5,FALSE)</f>
        <v>#N/A</v>
      </c>
      <c r="B1256" s="36" t="e">
        <f>VLOOKUP($C1256,'Variable Information'!$A$1:$C$480,3,FALSE)</f>
        <v>#N/A</v>
      </c>
      <c r="C1256" s="35"/>
      <c r="D1256" s="30" t="s">
        <v>1612</v>
      </c>
      <c r="E1256" s="15" t="s">
        <v>1613</v>
      </c>
    </row>
    <row r="1257" spans="1:5" x14ac:dyDescent="0.25">
      <c r="A1257" s="36" t="e">
        <f>VLOOKUP($C1257,'Variable Information'!$A$2:$E$480,5,FALSE)</f>
        <v>#N/A</v>
      </c>
      <c r="B1257" s="36" t="e">
        <f>VLOOKUP($C1257,'Variable Information'!$A$1:$C$480,3,FALSE)</f>
        <v>#N/A</v>
      </c>
      <c r="C1257" s="35"/>
      <c r="D1257" s="30" t="s">
        <v>1614</v>
      </c>
      <c r="E1257" s="15" t="s">
        <v>1615</v>
      </c>
    </row>
    <row r="1258" spans="1:5" x14ac:dyDescent="0.25">
      <c r="A1258" s="36" t="e">
        <f>VLOOKUP($C1258,'Variable Information'!$A$2:$E$480,5,FALSE)</f>
        <v>#N/A</v>
      </c>
      <c r="B1258" s="36" t="e">
        <f>VLOOKUP($C1258,'Variable Information'!$A$1:$C$480,3,FALSE)</f>
        <v>#N/A</v>
      </c>
      <c r="C1258" s="35"/>
      <c r="D1258" s="30" t="s">
        <v>1616</v>
      </c>
      <c r="E1258" s="15" t="s">
        <v>1617</v>
      </c>
    </row>
    <row r="1259" spans="1:5" x14ac:dyDescent="0.25">
      <c r="A1259" s="36" t="e">
        <f>VLOOKUP($C1259,'Variable Information'!$A$2:$E$480,5,FALSE)</f>
        <v>#N/A</v>
      </c>
      <c r="B1259" s="36" t="e">
        <f>VLOOKUP($C1259,'Variable Information'!$A$1:$C$480,3,FALSE)</f>
        <v>#N/A</v>
      </c>
      <c r="C1259" s="35"/>
      <c r="D1259" s="30" t="s">
        <v>1618</v>
      </c>
      <c r="E1259" s="15" t="s">
        <v>1619</v>
      </c>
    </row>
    <row r="1260" spans="1:5" x14ac:dyDescent="0.25">
      <c r="A1260" s="36" t="e">
        <f>VLOOKUP($C1260,'Variable Information'!$A$2:$E$480,5,FALSE)</f>
        <v>#N/A</v>
      </c>
      <c r="B1260" s="36" t="e">
        <f>VLOOKUP($C1260,'Variable Information'!$A$1:$C$480,3,FALSE)</f>
        <v>#N/A</v>
      </c>
      <c r="C1260" s="35"/>
      <c r="D1260" s="30" t="s">
        <v>1620</v>
      </c>
      <c r="E1260" s="15" t="s">
        <v>1621</v>
      </c>
    </row>
    <row r="1261" spans="1:5" x14ac:dyDescent="0.25">
      <c r="A1261" s="36" t="e">
        <f>VLOOKUP($C1261,'Variable Information'!$A$2:$E$480,5,FALSE)</f>
        <v>#N/A</v>
      </c>
      <c r="B1261" s="36" t="e">
        <f>VLOOKUP($C1261,'Variable Information'!$A$1:$C$480,3,FALSE)</f>
        <v>#N/A</v>
      </c>
      <c r="C1261" s="35"/>
      <c r="D1261" s="30" t="s">
        <v>1622</v>
      </c>
      <c r="E1261" s="15" t="s">
        <v>1623</v>
      </c>
    </row>
    <row r="1262" spans="1:5" x14ac:dyDescent="0.25">
      <c r="A1262" s="36" t="e">
        <f>VLOOKUP($C1262,'Variable Information'!$A$2:$E$480,5,FALSE)</f>
        <v>#N/A</v>
      </c>
      <c r="B1262" s="36" t="e">
        <f>VLOOKUP($C1262,'Variable Information'!$A$1:$C$480,3,FALSE)</f>
        <v>#N/A</v>
      </c>
      <c r="C1262" s="35"/>
      <c r="D1262" s="30" t="s">
        <v>1624</v>
      </c>
      <c r="E1262" s="15" t="s">
        <v>1625</v>
      </c>
    </row>
    <row r="1263" spans="1:5" x14ac:dyDescent="0.25">
      <c r="A1263" s="36" t="e">
        <f>VLOOKUP($C1263,'Variable Information'!$A$2:$E$480,5,FALSE)</f>
        <v>#N/A</v>
      </c>
      <c r="B1263" s="36" t="e">
        <f>VLOOKUP($C1263,'Variable Information'!$A$1:$C$480,3,FALSE)</f>
        <v>#N/A</v>
      </c>
      <c r="C1263" s="35"/>
      <c r="D1263" s="30" t="s">
        <v>1626</v>
      </c>
      <c r="E1263" s="15" t="s">
        <v>1627</v>
      </c>
    </row>
    <row r="1264" spans="1:5" x14ac:dyDescent="0.25">
      <c r="A1264" s="36" t="e">
        <f>VLOOKUP($C1264,'Variable Information'!$A$2:$E$480,5,FALSE)</f>
        <v>#N/A</v>
      </c>
      <c r="B1264" s="36" t="e">
        <f>VLOOKUP($C1264,'Variable Information'!$A$1:$C$480,3,FALSE)</f>
        <v>#N/A</v>
      </c>
      <c r="C1264" s="35"/>
      <c r="D1264" s="30" t="s">
        <v>1628</v>
      </c>
      <c r="E1264" s="15" t="s">
        <v>1629</v>
      </c>
    </row>
    <row r="1265" spans="1:5" ht="30" x14ac:dyDescent="0.25">
      <c r="A1265" s="36" t="e">
        <f>VLOOKUP($C1265,'Variable Information'!$A$2:$E$480,5,FALSE)</f>
        <v>#N/A</v>
      </c>
      <c r="B1265" s="36" t="e">
        <f>VLOOKUP($C1265,'Variable Information'!$A$1:$C$480,3,FALSE)</f>
        <v>#N/A</v>
      </c>
      <c r="C1265" s="35"/>
      <c r="D1265" s="30" t="s">
        <v>1630</v>
      </c>
      <c r="E1265" s="15" t="s">
        <v>1631</v>
      </c>
    </row>
    <row r="1266" spans="1:5" x14ac:dyDescent="0.25">
      <c r="A1266" s="36" t="e">
        <f>VLOOKUP($C1266,'Variable Information'!$A$2:$E$480,5,FALSE)</f>
        <v>#N/A</v>
      </c>
      <c r="B1266" s="36" t="e">
        <f>VLOOKUP($C1266,'Variable Information'!$A$1:$C$480,3,FALSE)</f>
        <v>#N/A</v>
      </c>
      <c r="C1266" s="35"/>
      <c r="D1266" s="30" t="s">
        <v>1632</v>
      </c>
      <c r="E1266" s="15" t="s">
        <v>1633</v>
      </c>
    </row>
    <row r="1267" spans="1:5" x14ac:dyDescent="0.25">
      <c r="A1267" s="36" t="e">
        <f>VLOOKUP($C1267,'Variable Information'!$A$2:$E$480,5,FALSE)</f>
        <v>#N/A</v>
      </c>
      <c r="B1267" s="36" t="e">
        <f>VLOOKUP($C1267,'Variable Information'!$A$1:$C$480,3,FALSE)</f>
        <v>#N/A</v>
      </c>
      <c r="C1267" s="35"/>
      <c r="D1267" s="30" t="s">
        <v>1634</v>
      </c>
      <c r="E1267" s="15" t="s">
        <v>1635</v>
      </c>
    </row>
    <row r="1268" spans="1:5" ht="30" x14ac:dyDescent="0.25">
      <c r="A1268" s="36" t="e">
        <f>VLOOKUP($C1268,'Variable Information'!$A$2:$E$480,5,FALSE)</f>
        <v>#N/A</v>
      </c>
      <c r="B1268" s="36" t="e">
        <f>VLOOKUP($C1268,'Variable Information'!$A$1:$C$480,3,FALSE)</f>
        <v>#N/A</v>
      </c>
      <c r="C1268" s="35"/>
      <c r="D1268" s="30" t="s">
        <v>1636</v>
      </c>
      <c r="E1268" s="15" t="s">
        <v>1637</v>
      </c>
    </row>
    <row r="1269" spans="1:5" x14ac:dyDescent="0.25">
      <c r="A1269" s="36" t="e">
        <f>VLOOKUP($C1269,'Variable Information'!$A$2:$E$480,5,FALSE)</f>
        <v>#N/A</v>
      </c>
      <c r="B1269" s="36" t="e">
        <f>VLOOKUP($C1269,'Variable Information'!$A$1:$C$480,3,FALSE)</f>
        <v>#N/A</v>
      </c>
      <c r="C1269" s="35"/>
      <c r="D1269" s="30" t="s">
        <v>1638</v>
      </c>
      <c r="E1269" s="15" t="s">
        <v>1639</v>
      </c>
    </row>
    <row r="1270" spans="1:5" x14ac:dyDescent="0.25">
      <c r="A1270" s="36" t="e">
        <f>VLOOKUP($C1270,'Variable Information'!$A$2:$E$480,5,FALSE)</f>
        <v>#N/A</v>
      </c>
      <c r="B1270" s="36" t="e">
        <f>VLOOKUP($C1270,'Variable Information'!$A$1:$C$480,3,FALSE)</f>
        <v>#N/A</v>
      </c>
      <c r="C1270" s="35"/>
      <c r="D1270" s="30" t="s">
        <v>1640</v>
      </c>
      <c r="E1270" s="15" t="s">
        <v>1641</v>
      </c>
    </row>
    <row r="1271" spans="1:5" ht="30" x14ac:dyDescent="0.25">
      <c r="A1271" s="36" t="e">
        <f>VLOOKUP($C1271,'Variable Information'!$A$2:$E$480,5,FALSE)</f>
        <v>#N/A</v>
      </c>
      <c r="B1271" s="36" t="e">
        <f>VLOOKUP($C1271,'Variable Information'!$A$1:$C$480,3,FALSE)</f>
        <v>#N/A</v>
      </c>
      <c r="C1271" s="35"/>
      <c r="D1271" s="30" t="s">
        <v>1642</v>
      </c>
      <c r="E1271" s="15" t="s">
        <v>1643</v>
      </c>
    </row>
    <row r="1272" spans="1:5" x14ac:dyDescent="0.25">
      <c r="A1272" s="36" t="e">
        <f>VLOOKUP($C1272,'Variable Information'!$A$2:$E$480,5,FALSE)</f>
        <v>#N/A</v>
      </c>
      <c r="B1272" s="36" t="e">
        <f>VLOOKUP($C1272,'Variable Information'!$A$1:$C$480,3,FALSE)</f>
        <v>#N/A</v>
      </c>
      <c r="C1272" s="35"/>
      <c r="D1272" s="30" t="s">
        <v>1644</v>
      </c>
      <c r="E1272" s="15" t="s">
        <v>1645</v>
      </c>
    </row>
    <row r="1273" spans="1:5" ht="30" x14ac:dyDescent="0.25">
      <c r="A1273" s="36" t="e">
        <f>VLOOKUP($C1273,'Variable Information'!$A$2:$E$480,5,FALSE)</f>
        <v>#N/A</v>
      </c>
      <c r="B1273" s="36" t="e">
        <f>VLOOKUP($C1273,'Variable Information'!$A$1:$C$480,3,FALSE)</f>
        <v>#N/A</v>
      </c>
      <c r="C1273" s="35"/>
      <c r="D1273" s="30" t="s">
        <v>1646</v>
      </c>
      <c r="E1273" s="15" t="s">
        <v>1647</v>
      </c>
    </row>
    <row r="1274" spans="1:5" x14ac:dyDescent="0.25">
      <c r="A1274" s="36" t="e">
        <f>VLOOKUP($C1274,'Variable Information'!$A$2:$E$480,5,FALSE)</f>
        <v>#N/A</v>
      </c>
      <c r="B1274" s="36" t="e">
        <f>VLOOKUP($C1274,'Variable Information'!$A$1:$C$480,3,FALSE)</f>
        <v>#N/A</v>
      </c>
      <c r="C1274" s="35"/>
      <c r="D1274" s="30" t="s">
        <v>1648</v>
      </c>
      <c r="E1274" s="15" t="s">
        <v>1649</v>
      </c>
    </row>
    <row r="1275" spans="1:5" ht="30" x14ac:dyDescent="0.25">
      <c r="A1275" s="36" t="e">
        <f>VLOOKUP($C1275,'Variable Information'!$A$2:$E$480,5,FALSE)</f>
        <v>#N/A</v>
      </c>
      <c r="B1275" s="36" t="e">
        <f>VLOOKUP($C1275,'Variable Information'!$A$1:$C$480,3,FALSE)</f>
        <v>#N/A</v>
      </c>
      <c r="C1275" s="35"/>
      <c r="D1275" s="30" t="s">
        <v>1650</v>
      </c>
      <c r="E1275" s="15" t="s">
        <v>1651</v>
      </c>
    </row>
    <row r="1276" spans="1:5" x14ac:dyDescent="0.25">
      <c r="A1276" s="36" t="e">
        <f>VLOOKUP($C1276,'Variable Information'!$A$2:$E$480,5,FALSE)</f>
        <v>#N/A</v>
      </c>
      <c r="B1276" s="36" t="e">
        <f>VLOOKUP($C1276,'Variable Information'!$A$1:$C$480,3,FALSE)</f>
        <v>#N/A</v>
      </c>
      <c r="C1276" s="35"/>
      <c r="D1276" s="30" t="s">
        <v>1652</v>
      </c>
      <c r="E1276" s="15" t="s">
        <v>1653</v>
      </c>
    </row>
    <row r="1277" spans="1:5" x14ac:dyDescent="0.25">
      <c r="A1277" s="36" t="e">
        <f>VLOOKUP($C1277,'Variable Information'!$A$2:$E$480,5,FALSE)</f>
        <v>#N/A</v>
      </c>
      <c r="B1277" s="36" t="e">
        <f>VLOOKUP($C1277,'Variable Information'!$A$1:$C$480,3,FALSE)</f>
        <v>#N/A</v>
      </c>
      <c r="C1277" s="35"/>
      <c r="D1277" s="30" t="s">
        <v>1654</v>
      </c>
      <c r="E1277" s="15" t="s">
        <v>1655</v>
      </c>
    </row>
    <row r="1278" spans="1:5" ht="30" x14ac:dyDescent="0.25">
      <c r="A1278" s="36" t="e">
        <f>VLOOKUP($C1278,'Variable Information'!$A$2:$E$480,5,FALSE)</f>
        <v>#N/A</v>
      </c>
      <c r="B1278" s="36" t="e">
        <f>VLOOKUP($C1278,'Variable Information'!$A$1:$C$480,3,FALSE)</f>
        <v>#N/A</v>
      </c>
      <c r="C1278" s="35"/>
      <c r="D1278" s="30" t="s">
        <v>1656</v>
      </c>
      <c r="E1278" s="15" t="s">
        <v>1657</v>
      </c>
    </row>
    <row r="1279" spans="1:5" x14ac:dyDescent="0.25">
      <c r="A1279" s="36" t="e">
        <f>VLOOKUP($C1279,'Variable Information'!$A$2:$E$480,5,FALSE)</f>
        <v>#N/A</v>
      </c>
      <c r="B1279" s="36" t="e">
        <f>VLOOKUP($C1279,'Variable Information'!$A$1:$C$480,3,FALSE)</f>
        <v>#N/A</v>
      </c>
      <c r="C1279" s="35"/>
      <c r="D1279" s="30" t="s">
        <v>1658</v>
      </c>
      <c r="E1279" s="15" t="s">
        <v>1659</v>
      </c>
    </row>
    <row r="1280" spans="1:5" x14ac:dyDescent="0.25">
      <c r="A1280" s="36" t="str">
        <f>VLOOKUP($C1280,'Variable Information'!$A$2:$E$480,5,FALSE)</f>
        <v>AJR_status</v>
      </c>
      <c r="B1280" s="36" t="str">
        <f>VLOOKUP($C1280,'Variable Information'!$A$1:$C$480,3,FALSE)</f>
        <v>Q24. Is this issue still ongoing or is it done with, either because it is resolved or because you, and anyone else, have given up trying to resolve it?</v>
      </c>
      <c r="C1280" s="35" t="s">
        <v>566</v>
      </c>
      <c r="D1280" s="30" t="s">
        <v>1447</v>
      </c>
      <c r="E1280" s="15" t="s">
        <v>1660</v>
      </c>
    </row>
    <row r="1281" spans="1:5" x14ac:dyDescent="0.25">
      <c r="A1281" s="36" t="e">
        <f>VLOOKUP($C1281,'Variable Information'!$A$2:$E$480,5,FALSE)</f>
        <v>#N/A</v>
      </c>
      <c r="B1281" s="36" t="e">
        <f>VLOOKUP($C1281,'Variable Information'!$A$1:$C$480,3,FALSE)</f>
        <v>#N/A</v>
      </c>
      <c r="C1281" s="35"/>
      <c r="D1281" s="30" t="s">
        <v>1449</v>
      </c>
      <c r="E1281" s="15" t="s">
        <v>1661</v>
      </c>
    </row>
    <row r="1282" spans="1:5" x14ac:dyDescent="0.25">
      <c r="A1282" s="36" t="e">
        <f>VLOOKUP($C1282,'Variable Information'!$A$2:$E$480,5,FALSE)</f>
        <v>#N/A</v>
      </c>
      <c r="B1282" s="36" t="e">
        <f>VLOOKUP($C1282,'Variable Information'!$A$1:$C$480,3,FALSE)</f>
        <v>#N/A</v>
      </c>
      <c r="C1282" s="35"/>
      <c r="D1282" s="30" t="s">
        <v>1451</v>
      </c>
      <c r="E1282" s="15" t="s">
        <v>1662</v>
      </c>
    </row>
    <row r="1283" spans="1:5" x14ac:dyDescent="0.25">
      <c r="A1283" s="36" t="e">
        <f>VLOOKUP($C1283,'Variable Information'!$A$2:$E$480,5,FALSE)</f>
        <v>#N/A</v>
      </c>
      <c r="B1283" s="36" t="e">
        <f>VLOOKUP($C1283,'Variable Information'!$A$1:$C$480,3,FALSE)</f>
        <v>#N/A</v>
      </c>
      <c r="C1283" s="35"/>
      <c r="D1283" s="30" t="s">
        <v>1456</v>
      </c>
      <c r="E1283" s="15" t="s">
        <v>1663</v>
      </c>
    </row>
    <row r="1284" spans="1:5" x14ac:dyDescent="0.25">
      <c r="A1284" s="36" t="e">
        <f>VLOOKUP($C1284,'Variable Information'!$A$2:$E$480,5,FALSE)</f>
        <v>#N/A</v>
      </c>
      <c r="B1284" s="36" t="e">
        <f>VLOOKUP($C1284,'Variable Information'!$A$1:$C$480,3,FALSE)</f>
        <v>#N/A</v>
      </c>
      <c r="C1284" s="35"/>
      <c r="D1284" s="30" t="s">
        <v>1458</v>
      </c>
      <c r="E1284" s="15" t="s">
        <v>1559</v>
      </c>
    </row>
    <row r="1285" spans="1:5" x14ac:dyDescent="0.25">
      <c r="A1285" s="36" t="str">
        <f>VLOOKUP($C1285,'Variable Information'!$A$2:$E$480,5,FALSE)</f>
        <v>AJR_status_cur_1</v>
      </c>
      <c r="B1285" s="36" t="str">
        <f>VLOOKUP($C1285,'Variable Information'!$A$1:$C$480,3,FALSE)</f>
        <v>Q24_1. Which of the following describes the current status of the issue? - A formal legal process is ongoing (e.g. at a court or tribunal)</v>
      </c>
      <c r="C1285" s="35" t="s">
        <v>570</v>
      </c>
      <c r="D1285" s="30" t="s">
        <v>1664</v>
      </c>
      <c r="E1285" s="15" t="s">
        <v>1558</v>
      </c>
    </row>
    <row r="1286" spans="1:5" x14ac:dyDescent="0.25">
      <c r="A1286" s="36" t="e">
        <f>VLOOKUP($C1286,'Variable Information'!$A$2:$E$480,5,FALSE)</f>
        <v>#N/A</v>
      </c>
      <c r="B1286" s="36" t="e">
        <f>VLOOKUP($C1286,'Variable Information'!$A$1:$C$480,3,FALSE)</f>
        <v>#N/A</v>
      </c>
      <c r="C1286" s="35"/>
      <c r="D1286" s="30" t="s">
        <v>1447</v>
      </c>
      <c r="E1286" s="15" t="s">
        <v>1557</v>
      </c>
    </row>
    <row r="1287" spans="1:5" x14ac:dyDescent="0.25">
      <c r="A1287" s="36" t="str">
        <f>VLOOKUP($C1287,'Variable Information'!$A$2:$E$480,5,FALSE)</f>
        <v>AJR_status_cur_2</v>
      </c>
      <c r="B1287" s="36" t="str">
        <f>VLOOKUP($C1287,'Variable Information'!$A$1:$C$480,3,FALSE)</f>
        <v>Q24_1. Which of the following describes the current status of the issue? - Another dispute resolution process outside a court or a tribunal is ongoing</v>
      </c>
      <c r="C1287" s="35" t="s">
        <v>573</v>
      </c>
      <c r="D1287" s="30" t="s">
        <v>1664</v>
      </c>
      <c r="E1287" s="15" t="s">
        <v>1558</v>
      </c>
    </row>
    <row r="1288" spans="1:5" x14ac:dyDescent="0.25">
      <c r="A1288" s="36" t="e">
        <f>VLOOKUP($C1288,'Variable Information'!$A$2:$E$480,5,FALSE)</f>
        <v>#N/A</v>
      </c>
      <c r="B1288" s="36" t="e">
        <f>VLOOKUP($C1288,'Variable Information'!$A$1:$C$480,3,FALSE)</f>
        <v>#N/A</v>
      </c>
      <c r="C1288" s="35"/>
      <c r="D1288" s="30" t="s">
        <v>1447</v>
      </c>
      <c r="E1288" s="15" t="s">
        <v>1557</v>
      </c>
    </row>
    <row r="1289" spans="1:5" x14ac:dyDescent="0.25">
      <c r="A1289" s="36" t="str">
        <f>VLOOKUP($C1289,'Variable Information'!$A$2:$E$480,5,FALSE)</f>
        <v>AJR_status_cur_3</v>
      </c>
      <c r="B1289" s="36" t="str">
        <f>VLOOKUP($C1289,'Variable Information'!$A$1:$C$480,3,FALSE)</f>
        <v>Q24_1. Which of the following describes the current status of the issue? - There is no dispute resolution process ongoing, but I am actively seeking advice or support to resolve or finish it</v>
      </c>
      <c r="C1289" s="35" t="s">
        <v>576</v>
      </c>
      <c r="D1289" s="30" t="s">
        <v>1664</v>
      </c>
      <c r="E1289" s="15" t="s">
        <v>1558</v>
      </c>
    </row>
    <row r="1290" spans="1:5" x14ac:dyDescent="0.25">
      <c r="A1290" s="36" t="e">
        <f>VLOOKUP($C1290,'Variable Information'!$A$2:$E$480,5,FALSE)</f>
        <v>#N/A</v>
      </c>
      <c r="B1290" s="36" t="e">
        <f>VLOOKUP($C1290,'Variable Information'!$A$1:$C$480,3,FALSE)</f>
        <v>#N/A</v>
      </c>
      <c r="C1290" s="35"/>
      <c r="D1290" s="30" t="s">
        <v>1447</v>
      </c>
      <c r="E1290" s="15" t="s">
        <v>1557</v>
      </c>
    </row>
    <row r="1291" spans="1:5" x14ac:dyDescent="0.25">
      <c r="A1291" s="36" t="str">
        <f>VLOOKUP($C1291,'Variable Information'!$A$2:$E$480,5,FALSE)</f>
        <v>AJR_status_cur_4</v>
      </c>
      <c r="B1291" s="36" t="str">
        <f>VLOOKUP($C1291,'Variable Information'!$A$1:$C$480,3,FALSE)</f>
        <v>Q24_1. Which of the following describes the current status of the issue? - I have not taken recent action as I am waiting for the other party to act or respond</v>
      </c>
      <c r="C1291" s="35" t="s">
        <v>579</v>
      </c>
      <c r="D1291" s="30" t="s">
        <v>1664</v>
      </c>
      <c r="E1291" s="15" t="s">
        <v>1558</v>
      </c>
    </row>
    <row r="1292" spans="1:5" x14ac:dyDescent="0.25">
      <c r="A1292" s="36" t="e">
        <f>VLOOKUP($C1292,'Variable Information'!$A$2:$E$480,5,FALSE)</f>
        <v>#N/A</v>
      </c>
      <c r="B1292" s="36" t="e">
        <f>VLOOKUP($C1292,'Variable Information'!$A$1:$C$480,3,FALSE)</f>
        <v>#N/A</v>
      </c>
      <c r="C1292" s="35"/>
      <c r="D1292" s="30" t="s">
        <v>1447</v>
      </c>
      <c r="E1292" s="15" t="s">
        <v>1557</v>
      </c>
    </row>
    <row r="1293" spans="1:5" x14ac:dyDescent="0.25">
      <c r="A1293" s="36" t="str">
        <f>VLOOKUP($C1293,'Variable Information'!$A$2:$E$480,5,FALSE)</f>
        <v>AJR_status_cur_5</v>
      </c>
      <c r="B1293" s="36" t="str">
        <f>VLOOKUP($C1293,'Variable Information'!$A$1:$C$480,3,FALSE)</f>
        <v>Q24_1. Which of the following describes the current status of the issue? - No recent action has been taken, but I still intend to resolve it</v>
      </c>
      <c r="C1293" s="35" t="s">
        <v>582</v>
      </c>
      <c r="D1293" s="30" t="s">
        <v>1664</v>
      </c>
      <c r="E1293" s="15" t="s">
        <v>1558</v>
      </c>
    </row>
    <row r="1294" spans="1:5" x14ac:dyDescent="0.25">
      <c r="A1294" s="36" t="e">
        <f>VLOOKUP($C1294,'Variable Information'!$A$2:$E$480,5,FALSE)</f>
        <v>#N/A</v>
      </c>
      <c r="B1294" s="36" t="e">
        <f>VLOOKUP($C1294,'Variable Information'!$A$1:$C$480,3,FALSE)</f>
        <v>#N/A</v>
      </c>
      <c r="C1294" s="35"/>
      <c r="D1294" s="30" t="s">
        <v>1447</v>
      </c>
      <c r="E1294" s="15" t="s">
        <v>1557</v>
      </c>
    </row>
    <row r="1295" spans="1:5" x14ac:dyDescent="0.25">
      <c r="A1295" s="36" t="str">
        <f>VLOOKUP($C1295,'Variable Information'!$A$2:$E$480,5,FALSE)</f>
        <v>AJR_status_cur_6</v>
      </c>
      <c r="B1295" s="36" t="str">
        <f>VLOOKUP($C1295,'Variable Information'!$A$1:$C$480,3,FALSE)</f>
        <v>Q24_1. Which of the following describes the current status of the issue? - No recent action has been taken</v>
      </c>
      <c r="C1295" s="35" t="s">
        <v>585</v>
      </c>
      <c r="D1295" s="30" t="s">
        <v>1664</v>
      </c>
      <c r="E1295" s="15" t="s">
        <v>1558</v>
      </c>
    </row>
    <row r="1296" spans="1:5" x14ac:dyDescent="0.25">
      <c r="A1296" s="36" t="e">
        <f>VLOOKUP($C1296,'Variable Information'!$A$2:$E$480,5,FALSE)</f>
        <v>#N/A</v>
      </c>
      <c r="B1296" s="36" t="e">
        <f>VLOOKUP($C1296,'Variable Information'!$A$1:$C$480,3,FALSE)</f>
        <v>#N/A</v>
      </c>
      <c r="C1296" s="35"/>
      <c r="D1296" s="30" t="s">
        <v>1447</v>
      </c>
      <c r="E1296" s="15" t="s">
        <v>1557</v>
      </c>
    </row>
    <row r="1297" spans="1:5" x14ac:dyDescent="0.25">
      <c r="A1297" s="36" t="str">
        <f>VLOOKUP($C1297,'Variable Information'!$A$2:$E$480,5,FALSE)</f>
        <v>AJR_status_cur_7</v>
      </c>
      <c r="B1297" s="36" t="str">
        <f>VLOOKUP($C1297,'Variable Information'!$A$1:$C$480,3,FALSE)</f>
        <v>Q24_1. Which of the following describes the current status of the issue? - Other, please specify:</v>
      </c>
      <c r="C1297" s="35" t="s">
        <v>588</v>
      </c>
      <c r="D1297" s="30" t="s">
        <v>1664</v>
      </c>
      <c r="E1297" s="15" t="s">
        <v>1558</v>
      </c>
    </row>
    <row r="1298" spans="1:5" x14ac:dyDescent="0.25">
      <c r="A1298" s="36" t="e">
        <f>VLOOKUP($C1298,'Variable Information'!$A$2:$E$480,5,FALSE)</f>
        <v>#N/A</v>
      </c>
      <c r="B1298" s="36" t="e">
        <f>VLOOKUP($C1298,'Variable Information'!$A$1:$C$480,3,FALSE)</f>
        <v>#N/A</v>
      </c>
      <c r="C1298" s="35"/>
      <c r="D1298" s="30" t="s">
        <v>1447</v>
      </c>
      <c r="E1298" s="15" t="s">
        <v>1557</v>
      </c>
    </row>
    <row r="1299" spans="1:5" x14ac:dyDescent="0.25">
      <c r="A1299" s="36" t="str">
        <f>VLOOKUP($C1299,'Variable Information'!$A$2:$E$480,5,FALSE)</f>
        <v>AJR_status_cur_8</v>
      </c>
      <c r="B1299" s="36" t="str">
        <f>VLOOKUP($C1299,'Variable Information'!$A$1:$C$480,3,FALSE)</f>
        <v>Q24_1. Which of the following describes the current status of the issue? - Don't know</v>
      </c>
      <c r="C1299" s="35" t="s">
        <v>591</v>
      </c>
      <c r="D1299" s="30" t="s">
        <v>1664</v>
      </c>
      <c r="E1299" s="15" t="s">
        <v>1558</v>
      </c>
    </row>
    <row r="1300" spans="1:5" x14ac:dyDescent="0.25">
      <c r="A1300" s="36" t="e">
        <f>VLOOKUP($C1300,'Variable Information'!$A$2:$E$480,5,FALSE)</f>
        <v>#N/A</v>
      </c>
      <c r="B1300" s="36" t="e">
        <f>VLOOKUP($C1300,'Variable Information'!$A$1:$C$480,3,FALSE)</f>
        <v>#N/A</v>
      </c>
      <c r="C1300" s="35"/>
      <c r="D1300" s="30" t="s">
        <v>1447</v>
      </c>
      <c r="E1300" s="15" t="s">
        <v>1557</v>
      </c>
    </row>
    <row r="1301" spans="1:5" x14ac:dyDescent="0.25">
      <c r="A1301" s="36" t="str">
        <f>VLOOKUP($C1301,'Variable Information'!$A$2:$E$480,5,FALSE)</f>
        <v>AJR_status_cur_9</v>
      </c>
      <c r="B1301" s="36" t="str">
        <f>VLOOKUP($C1301,'Variable Information'!$A$1:$C$480,3,FALSE)</f>
        <v>Q24_1. Which of the following describes the current status of the issue? - Prefer not to say</v>
      </c>
      <c r="C1301" s="35" t="s">
        <v>594</v>
      </c>
      <c r="D1301" s="30" t="s">
        <v>1664</v>
      </c>
      <c r="E1301" s="15" t="s">
        <v>1558</v>
      </c>
    </row>
    <row r="1302" spans="1:5" x14ac:dyDescent="0.25">
      <c r="A1302" s="36" t="e">
        <f>VLOOKUP($C1302,'Variable Information'!$A$2:$E$480,5,FALSE)</f>
        <v>#N/A</v>
      </c>
      <c r="B1302" s="36" t="e">
        <f>VLOOKUP($C1302,'Variable Information'!$A$1:$C$480,3,FALSE)</f>
        <v>#N/A</v>
      </c>
      <c r="C1302" s="35"/>
      <c r="D1302" s="30" t="s">
        <v>1447</v>
      </c>
      <c r="E1302" s="15" t="s">
        <v>1557</v>
      </c>
    </row>
    <row r="1303" spans="1:5" x14ac:dyDescent="0.25">
      <c r="A1303" s="36" t="str">
        <f>VLOOKUP($C1303,'Variable Information'!$A$2:$E$480,5,FALSE)</f>
        <v>AJD_adviser_1</v>
      </c>
      <c r="B1303" s="36" t="str">
        <f>VLOOKUP($C1303,'Variable Information'!$A$1:$C$480,3,FALSE)</f>
        <v>Q25_1. Help sought - A court (small claims court, District Court, High Court, Court of Appeal, Supreme Court, Europe etc)</v>
      </c>
      <c r="C1303" s="35" t="s">
        <v>597</v>
      </c>
      <c r="D1303" s="30" t="s">
        <v>1447</v>
      </c>
      <c r="E1303" s="15" t="s">
        <v>1557</v>
      </c>
    </row>
    <row r="1304" spans="1:5" x14ac:dyDescent="0.25">
      <c r="A1304" s="36" t="e">
        <f>VLOOKUP($C1304,'Variable Information'!$A$2:$E$480,5,FALSE)</f>
        <v>#N/A</v>
      </c>
      <c r="B1304" s="36" t="e">
        <f>VLOOKUP($C1304,'Variable Information'!$A$1:$C$480,3,FALSE)</f>
        <v>#N/A</v>
      </c>
      <c r="C1304" s="35"/>
      <c r="D1304" s="30" t="s">
        <v>1449</v>
      </c>
      <c r="E1304" s="15" t="s">
        <v>1558</v>
      </c>
    </row>
    <row r="1305" spans="1:5" x14ac:dyDescent="0.25">
      <c r="A1305" s="36" t="str">
        <f>VLOOKUP($C1305,'Variable Information'!$A$2:$E$480,5,FALSE)</f>
        <v>AJD_adviser_2</v>
      </c>
      <c r="B1305" s="36" t="str">
        <f>VLOOKUP($C1305,'Variable Information'!$A$1:$C$480,3,FALSE)</f>
        <v>Q25_1. Help sought - A tribunal (e.g. International Protection Appeals Tribunal, Workplace Relations Commission, Social Welfare Appeals Office,</v>
      </c>
      <c r="C1305" s="35" t="s">
        <v>601</v>
      </c>
      <c r="D1305" s="30" t="s">
        <v>1447</v>
      </c>
      <c r="E1305" s="15" t="s">
        <v>1557</v>
      </c>
    </row>
    <row r="1306" spans="1:5" x14ac:dyDescent="0.25">
      <c r="A1306" s="36" t="e">
        <f>VLOOKUP($C1306,'Variable Information'!$A$2:$E$480,5,FALSE)</f>
        <v>#N/A</v>
      </c>
      <c r="B1306" s="36" t="e">
        <f>VLOOKUP($C1306,'Variable Information'!$A$1:$C$480,3,FALSE)</f>
        <v>#N/A</v>
      </c>
      <c r="C1306" s="35"/>
      <c r="D1306" s="30" t="s">
        <v>1449</v>
      </c>
      <c r="E1306" s="15" t="s">
        <v>1558</v>
      </c>
    </row>
    <row r="1307" spans="1:5" x14ac:dyDescent="0.25">
      <c r="A1307" s="36" t="str">
        <f>VLOOKUP($C1307,'Variable Information'!$A$2:$E$480,5,FALSE)</f>
        <v>AJD_adviser_3</v>
      </c>
      <c r="B1307" s="36" t="str">
        <f>VLOOKUP($C1307,'Variable Information'!$A$1:$C$480,3,FALSE)</f>
        <v>Q25_1. Help sought - An Ombudsman (e.g. Financial Services Ombudsman)</v>
      </c>
      <c r="C1307" s="35" t="s">
        <v>604</v>
      </c>
      <c r="D1307" s="30" t="s">
        <v>1447</v>
      </c>
      <c r="E1307" s="15" t="s">
        <v>1557</v>
      </c>
    </row>
    <row r="1308" spans="1:5" x14ac:dyDescent="0.25">
      <c r="A1308" s="36" t="e">
        <f>VLOOKUP($C1308,'Variable Information'!$A$2:$E$480,5,FALSE)</f>
        <v>#N/A</v>
      </c>
      <c r="B1308" s="36" t="e">
        <f>VLOOKUP($C1308,'Variable Information'!$A$1:$C$480,3,FALSE)</f>
        <v>#N/A</v>
      </c>
      <c r="C1308" s="35"/>
      <c r="D1308" s="30" t="s">
        <v>1449</v>
      </c>
      <c r="E1308" s="15" t="s">
        <v>1558</v>
      </c>
    </row>
    <row r="1309" spans="1:5" x14ac:dyDescent="0.25">
      <c r="A1309" s="36" t="str">
        <f>VLOOKUP($C1309,'Variable Information'!$A$2:$E$480,5,FALSE)</f>
        <v>AJD_adviser_4</v>
      </c>
      <c r="B1309" s="36" t="str">
        <f>VLOOKUP($C1309,'Variable Information'!$A$1:$C$480,3,FALSE)</f>
        <v>Q25_1. Help sought - The Gardai/police (or other law-enforcement)</v>
      </c>
      <c r="C1309" s="35" t="s">
        <v>607</v>
      </c>
      <c r="D1309" s="30" t="s">
        <v>1447</v>
      </c>
      <c r="E1309" s="15" t="s">
        <v>1557</v>
      </c>
    </row>
    <row r="1310" spans="1:5" x14ac:dyDescent="0.25">
      <c r="A1310" s="36" t="e">
        <f>VLOOKUP($C1310,'Variable Information'!$A$2:$E$480,5,FALSE)</f>
        <v>#N/A</v>
      </c>
      <c r="B1310" s="36" t="e">
        <f>VLOOKUP($C1310,'Variable Information'!$A$1:$C$480,3,FALSE)</f>
        <v>#N/A</v>
      </c>
      <c r="C1310" s="35"/>
      <c r="D1310" s="30" t="s">
        <v>1449</v>
      </c>
      <c r="E1310" s="15" t="s">
        <v>1558</v>
      </c>
    </row>
    <row r="1311" spans="1:5" x14ac:dyDescent="0.25">
      <c r="A1311" s="36" t="str">
        <f>VLOOKUP($C1311,'Variable Information'!$A$2:$E$480,5,FALSE)</f>
        <v>AJD_adviser_5</v>
      </c>
      <c r="B1311" s="36" t="str">
        <f>VLOOKUP($C1311,'Variable Information'!$A$1:$C$480,3,FALSE)</f>
        <v>Q25_1. Help sought - Family Mediation Service</v>
      </c>
      <c r="C1311" s="35" t="s">
        <v>610</v>
      </c>
      <c r="D1311" s="30" t="s">
        <v>1447</v>
      </c>
      <c r="E1311" s="15" t="s">
        <v>1557</v>
      </c>
    </row>
    <row r="1312" spans="1:5" x14ac:dyDescent="0.25">
      <c r="A1312" s="36" t="e">
        <f>VLOOKUP($C1312,'Variable Information'!$A$2:$E$480,5,FALSE)</f>
        <v>#N/A</v>
      </c>
      <c r="B1312" s="36" t="e">
        <f>VLOOKUP($C1312,'Variable Information'!$A$1:$C$480,3,FALSE)</f>
        <v>#N/A</v>
      </c>
      <c r="C1312" s="35"/>
      <c r="D1312" s="30" t="s">
        <v>1449</v>
      </c>
      <c r="E1312" s="15" t="s">
        <v>1558</v>
      </c>
    </row>
    <row r="1313" spans="1:5" x14ac:dyDescent="0.25">
      <c r="A1313" s="36" t="str">
        <f>VLOOKUP($C1313,'Variable Information'!$A$2:$E$480,5,FALSE)</f>
        <v>AJD_adviser_6</v>
      </c>
      <c r="B1313" s="36" t="str">
        <f>VLOOKUP($C1313,'Variable Information'!$A$1:$C$480,3,FALSE)</f>
        <v>Q25_1. Help sought - Another mediation, conciliation or other complaint or dispute resolution service (including online or commercial services)</v>
      </c>
      <c r="C1313" s="35" t="s">
        <v>613</v>
      </c>
      <c r="D1313" s="30" t="s">
        <v>1447</v>
      </c>
      <c r="E1313" s="15" t="s">
        <v>1557</v>
      </c>
    </row>
    <row r="1314" spans="1:5" x14ac:dyDescent="0.25">
      <c r="A1314" s="36" t="e">
        <f>VLOOKUP($C1314,'Variable Information'!$A$2:$E$480,5,FALSE)</f>
        <v>#N/A</v>
      </c>
      <c r="B1314" s="36" t="e">
        <f>VLOOKUP($C1314,'Variable Information'!$A$1:$C$480,3,FALSE)</f>
        <v>#N/A</v>
      </c>
      <c r="C1314" s="35"/>
      <c r="D1314" s="30" t="s">
        <v>1449</v>
      </c>
      <c r="E1314" s="15" t="s">
        <v>1558</v>
      </c>
    </row>
    <row r="1315" spans="1:5" x14ac:dyDescent="0.25">
      <c r="A1315" s="36" t="str">
        <f>VLOOKUP($C1315,'Variable Information'!$A$2:$E$480,5,FALSE)</f>
        <v>AJD_adviser_7</v>
      </c>
      <c r="B1315" s="36" t="str">
        <f>VLOOKUP($C1315,'Variable Information'!$A$1:$C$480,3,FALSE)</f>
        <v>Q25_1. Help sought - A private solicitor or person working in a solicitor's office</v>
      </c>
      <c r="C1315" s="35" t="s">
        <v>616</v>
      </c>
      <c r="D1315" s="30" t="s">
        <v>1447</v>
      </c>
      <c r="E1315" s="15" t="s">
        <v>1557</v>
      </c>
    </row>
    <row r="1316" spans="1:5" x14ac:dyDescent="0.25">
      <c r="A1316" s="36" t="e">
        <f>VLOOKUP($C1316,'Variable Information'!$A$2:$E$480,5,FALSE)</f>
        <v>#N/A</v>
      </c>
      <c r="B1316" s="36" t="e">
        <f>VLOOKUP($C1316,'Variable Information'!$A$1:$C$480,3,FALSE)</f>
        <v>#N/A</v>
      </c>
      <c r="C1316" s="35"/>
      <c r="D1316" s="30" t="s">
        <v>1449</v>
      </c>
      <c r="E1316" s="15" t="s">
        <v>1558</v>
      </c>
    </row>
    <row r="1317" spans="1:5" x14ac:dyDescent="0.25">
      <c r="A1317" s="36" t="str">
        <f>VLOOKUP($C1317,'Variable Information'!$A$2:$E$480,5,FALSE)</f>
        <v>AJD_adviser_8</v>
      </c>
      <c r="B1317" s="36" t="str">
        <f>VLOOKUP($C1317,'Variable Information'!$A$1:$C$480,3,FALSE)</f>
        <v>Q25_1. Help sought - A private barrister or person working in a barrister's office</v>
      </c>
      <c r="C1317" s="35" t="s">
        <v>619</v>
      </c>
      <c r="D1317" s="30" t="s">
        <v>1447</v>
      </c>
      <c r="E1317" s="15" t="s">
        <v>1557</v>
      </c>
    </row>
    <row r="1318" spans="1:5" x14ac:dyDescent="0.25">
      <c r="A1318" s="36" t="e">
        <f>VLOOKUP($C1318,'Variable Information'!$A$2:$E$480,5,FALSE)</f>
        <v>#N/A</v>
      </c>
      <c r="B1318" s="36" t="e">
        <f>VLOOKUP($C1318,'Variable Information'!$A$1:$C$480,3,FALSE)</f>
        <v>#N/A</v>
      </c>
      <c r="C1318" s="35"/>
      <c r="D1318" s="30" t="s">
        <v>1449</v>
      </c>
      <c r="E1318" s="15" t="s">
        <v>1558</v>
      </c>
    </row>
    <row r="1319" spans="1:5" x14ac:dyDescent="0.25">
      <c r="A1319" s="36" t="str">
        <f>VLOOKUP($C1319,'Variable Information'!$A$2:$E$480,5,FALSE)</f>
        <v>AJD_adviser_9</v>
      </c>
      <c r="B1319" s="36" t="str">
        <f>VLOOKUP($C1319,'Variable Information'!$A$1:$C$480,3,FALSE)</f>
        <v>Q25_1. Help sought - A Legal Aid Board Law Centre</v>
      </c>
      <c r="C1319" s="35" t="s">
        <v>622</v>
      </c>
      <c r="D1319" s="30" t="s">
        <v>1447</v>
      </c>
      <c r="E1319" s="15" t="s">
        <v>1557</v>
      </c>
    </row>
    <row r="1320" spans="1:5" x14ac:dyDescent="0.25">
      <c r="A1320" s="36" t="e">
        <f>VLOOKUP($C1320,'Variable Information'!$A$2:$E$480,5,FALSE)</f>
        <v>#N/A</v>
      </c>
      <c r="B1320" s="36" t="e">
        <f>VLOOKUP($C1320,'Variable Information'!$A$1:$C$480,3,FALSE)</f>
        <v>#N/A</v>
      </c>
      <c r="C1320" s="35"/>
      <c r="D1320" s="30" t="s">
        <v>1449</v>
      </c>
      <c r="E1320" s="15" t="s">
        <v>1558</v>
      </c>
    </row>
    <row r="1321" spans="1:5" x14ac:dyDescent="0.25">
      <c r="A1321" s="36" t="str">
        <f>VLOOKUP($C1321,'Variable Information'!$A$2:$E$480,5,FALSE)</f>
        <v>AJD_adviser_10</v>
      </c>
      <c r="B1321" s="36" t="str">
        <f>VLOOKUP($C1321,'Variable Information'!$A$1:$C$480,3,FALSE)</f>
        <v>Q25_1. Help sought - Another law centre such as the Free Legal Advice Centres</v>
      </c>
      <c r="C1321" s="35" t="s">
        <v>625</v>
      </c>
      <c r="D1321" s="30" t="s">
        <v>1447</v>
      </c>
      <c r="E1321" s="15" t="s">
        <v>1557</v>
      </c>
    </row>
    <row r="1322" spans="1:5" x14ac:dyDescent="0.25">
      <c r="A1322" s="36" t="e">
        <f>VLOOKUP($C1322,'Variable Information'!$A$2:$E$480,5,FALSE)</f>
        <v>#N/A</v>
      </c>
      <c r="B1322" s="36" t="e">
        <f>VLOOKUP($C1322,'Variable Information'!$A$1:$C$480,3,FALSE)</f>
        <v>#N/A</v>
      </c>
      <c r="C1322" s="35"/>
      <c r="D1322" s="30" t="s">
        <v>1449</v>
      </c>
      <c r="E1322" s="15" t="s">
        <v>1558</v>
      </c>
    </row>
    <row r="1323" spans="1:5" x14ac:dyDescent="0.25">
      <c r="A1323" s="36" t="str">
        <f>VLOOKUP($C1323,'Variable Information'!$A$2:$E$480,5,FALSE)</f>
        <v>AJD_adviser_11</v>
      </c>
      <c r="B1323" s="36" t="str">
        <f>VLOOKUP($C1323,'Variable Information'!$A$1:$C$480,3,FALSE)</f>
        <v>Q25_1. Help sought - A government department, local council or government agency (e.g. a Housing or Social Welfare officer)</v>
      </c>
      <c r="C1323" s="35" t="s">
        <v>628</v>
      </c>
      <c r="D1323" s="30" t="s">
        <v>1447</v>
      </c>
      <c r="E1323" s="15" t="s">
        <v>1557</v>
      </c>
    </row>
    <row r="1324" spans="1:5" x14ac:dyDescent="0.25">
      <c r="A1324" s="36" t="e">
        <f>VLOOKUP($C1324,'Variable Information'!$A$2:$E$480,5,FALSE)</f>
        <v>#N/A</v>
      </c>
      <c r="B1324" s="36" t="e">
        <f>VLOOKUP($C1324,'Variable Information'!$A$1:$C$480,3,FALSE)</f>
        <v>#N/A</v>
      </c>
      <c r="C1324" s="35"/>
      <c r="D1324" s="30" t="s">
        <v>1449</v>
      </c>
      <c r="E1324" s="15" t="s">
        <v>1558</v>
      </c>
    </row>
    <row r="1325" spans="1:5" x14ac:dyDescent="0.25">
      <c r="A1325" s="36" t="str">
        <f>VLOOKUP($C1325,'Variable Information'!$A$2:$E$480,5,FALSE)</f>
        <v>AJD_adviser_12</v>
      </c>
      <c r="B1325" s="36" t="str">
        <f>VLOOKUP($C1325,'Variable Information'!$A$1:$C$480,3,FALSE)</f>
        <v>Q25_1. Help sought - A non-legal professional, organisation or help line (e.g. Citizens Information Centre, Citizens Information Phone Centre,</v>
      </c>
      <c r="C1325" s="35" t="s">
        <v>631</v>
      </c>
      <c r="D1325" s="30" t="s">
        <v>1447</v>
      </c>
      <c r="E1325" s="15" t="s">
        <v>1557</v>
      </c>
    </row>
    <row r="1326" spans="1:5" x14ac:dyDescent="0.25">
      <c r="A1326" s="36" t="e">
        <f>VLOOKUP($C1326,'Variable Information'!$A$2:$E$480,5,FALSE)</f>
        <v>#N/A</v>
      </c>
      <c r="B1326" s="36" t="e">
        <f>VLOOKUP($C1326,'Variable Information'!$A$1:$C$480,3,FALSE)</f>
        <v>#N/A</v>
      </c>
      <c r="C1326" s="35"/>
      <c r="D1326" s="30" t="s">
        <v>1449</v>
      </c>
      <c r="E1326" s="15" t="s">
        <v>1558</v>
      </c>
    </row>
    <row r="1327" spans="1:5" x14ac:dyDescent="0.25">
      <c r="A1327" s="36" t="str">
        <f>VLOOKUP($C1327,'Variable Information'!$A$2:$E$480,5,FALSE)</f>
        <v>AJD_adviser_13</v>
      </c>
      <c r="B1327" s="36" t="str">
        <f>VLOOKUP($C1327,'Variable Information'!$A$1:$C$480,3,FALSE)</f>
        <v>Q25_1. Help sought - Other person of standing in the local community (e.g. a politician, teacher, councillor, TDs or senator)</v>
      </c>
      <c r="C1327" s="35" t="s">
        <v>634</v>
      </c>
      <c r="D1327" s="30" t="s">
        <v>1447</v>
      </c>
      <c r="E1327" s="15" t="s">
        <v>1557</v>
      </c>
    </row>
    <row r="1328" spans="1:5" x14ac:dyDescent="0.25">
      <c r="A1328" s="36" t="e">
        <f>VLOOKUP($C1328,'Variable Information'!$A$2:$E$480,5,FALSE)</f>
        <v>#N/A</v>
      </c>
      <c r="B1328" s="36" t="e">
        <f>VLOOKUP($C1328,'Variable Information'!$A$1:$C$480,3,FALSE)</f>
        <v>#N/A</v>
      </c>
      <c r="C1328" s="35"/>
      <c r="D1328" s="30" t="s">
        <v>1449</v>
      </c>
      <c r="E1328" s="15" t="s">
        <v>1558</v>
      </c>
    </row>
    <row r="1329" spans="1:5" x14ac:dyDescent="0.25">
      <c r="A1329" s="36" t="str">
        <f>VLOOKUP($C1329,'Variable Information'!$A$2:$E$480,5,FALSE)</f>
        <v>AJD_adviser_14</v>
      </c>
      <c r="B1329" s="36" t="str">
        <f>VLOOKUP($C1329,'Variable Information'!$A$1:$C$480,3,FALSE)</f>
        <v>Q25_1. Help sought - Online search (e.g. Google)</v>
      </c>
      <c r="C1329" s="35" t="s">
        <v>637</v>
      </c>
      <c r="D1329" s="30" t="s">
        <v>1447</v>
      </c>
      <c r="E1329" s="15" t="s">
        <v>1557</v>
      </c>
    </row>
    <row r="1330" spans="1:5" x14ac:dyDescent="0.25">
      <c r="A1330" s="36" t="e">
        <f>VLOOKUP($C1330,'Variable Information'!$A$2:$E$480,5,FALSE)</f>
        <v>#N/A</v>
      </c>
      <c r="B1330" s="36" t="e">
        <f>VLOOKUP($C1330,'Variable Information'!$A$1:$C$480,3,FALSE)</f>
        <v>#N/A</v>
      </c>
      <c r="C1330" s="35"/>
      <c r="D1330" s="30" t="s">
        <v>1449</v>
      </c>
      <c r="E1330" s="15" t="s">
        <v>1558</v>
      </c>
    </row>
    <row r="1331" spans="1:5" x14ac:dyDescent="0.25">
      <c r="A1331" s="36" t="str">
        <f>VLOOKUP($C1331,'Variable Information'!$A$2:$E$480,5,FALSE)</f>
        <v>AJD_adviser_15</v>
      </c>
      <c r="B1331" s="36" t="str">
        <f>VLOOKUP($C1331,'Variable Information'!$A$1:$C$480,3,FALSE)</f>
        <v>Q25_1. Help sought - Social media (e.g. Facebook, X, Tik Tok, Reddit, Quora, Instagram)</v>
      </c>
      <c r="C1331" s="35" t="s">
        <v>640</v>
      </c>
      <c r="D1331" s="30" t="s">
        <v>1447</v>
      </c>
      <c r="E1331" s="15" t="s">
        <v>1557</v>
      </c>
    </row>
    <row r="1332" spans="1:5" x14ac:dyDescent="0.25">
      <c r="A1332" s="36" t="e">
        <f>VLOOKUP($C1332,'Variable Information'!$A$2:$E$480,5,FALSE)</f>
        <v>#N/A</v>
      </c>
      <c r="B1332" s="36" t="e">
        <f>VLOOKUP($C1332,'Variable Information'!$A$1:$C$480,3,FALSE)</f>
        <v>#N/A</v>
      </c>
      <c r="C1332" s="35"/>
      <c r="D1332" s="30" t="s">
        <v>1449</v>
      </c>
      <c r="E1332" s="15" t="s">
        <v>1558</v>
      </c>
    </row>
    <row r="1333" spans="1:5" x14ac:dyDescent="0.25">
      <c r="A1333" s="36" t="str">
        <f>VLOOKUP($C1333,'Variable Information'!$A$2:$E$480,5,FALSE)</f>
        <v>AJD_adviser_16</v>
      </c>
      <c r="B1333" s="36" t="str">
        <f>VLOOKUP($C1333,'Variable Information'!$A$1:$C$480,3,FALSE)</f>
        <v>Q25_1. Help sought - AI tools (e.g. ChatGPT, Gemini or other ChatBot)</v>
      </c>
      <c r="C1333" s="35" t="s">
        <v>643</v>
      </c>
      <c r="D1333" s="30" t="s">
        <v>1447</v>
      </c>
      <c r="E1333" s="15" t="s">
        <v>1557</v>
      </c>
    </row>
    <row r="1334" spans="1:5" x14ac:dyDescent="0.25">
      <c r="A1334" s="36" t="e">
        <f>VLOOKUP($C1334,'Variable Information'!$A$2:$E$480,5,FALSE)</f>
        <v>#N/A</v>
      </c>
      <c r="B1334" s="36" t="e">
        <f>VLOOKUP($C1334,'Variable Information'!$A$1:$C$480,3,FALSE)</f>
        <v>#N/A</v>
      </c>
      <c r="C1334" s="35"/>
      <c r="D1334" s="30" t="s">
        <v>1449</v>
      </c>
      <c r="E1334" s="15" t="s">
        <v>1558</v>
      </c>
    </row>
    <row r="1335" spans="1:5" x14ac:dyDescent="0.25">
      <c r="A1335" s="36" t="str">
        <f>VLOOKUP($C1335,'Variable Information'!$A$2:$E$480,5,FALSE)</f>
        <v>AJD_adviser_17</v>
      </c>
      <c r="B1335" s="36" t="str">
        <f>VLOOKUP($C1335,'Variable Information'!$A$1:$C$480,3,FALSE)</f>
        <v>Q25_1. Help sought - Another person (e.g. a friend, family member, or acquaintance [not a professional])</v>
      </c>
      <c r="C1335" s="35" t="s">
        <v>646</v>
      </c>
      <c r="D1335" s="30" t="s">
        <v>1447</v>
      </c>
      <c r="E1335" s="15" t="s">
        <v>1557</v>
      </c>
    </row>
    <row r="1336" spans="1:5" x14ac:dyDescent="0.25">
      <c r="A1336" s="36" t="e">
        <f>VLOOKUP($C1336,'Variable Information'!$A$2:$E$480,5,FALSE)</f>
        <v>#N/A</v>
      </c>
      <c r="B1336" s="36" t="e">
        <f>VLOOKUP($C1336,'Variable Information'!$A$1:$C$480,3,FALSE)</f>
        <v>#N/A</v>
      </c>
      <c r="C1336" s="35"/>
      <c r="D1336" s="30" t="s">
        <v>1449</v>
      </c>
      <c r="E1336" s="15" t="s">
        <v>1558</v>
      </c>
    </row>
    <row r="1337" spans="1:5" x14ac:dyDescent="0.25">
      <c r="A1337" s="36" t="str">
        <f>VLOOKUP($C1337,'Variable Information'!$A$2:$E$480,5,FALSE)</f>
        <v>AJD_adviser_help_1</v>
      </c>
      <c r="B1337" s="36" t="str">
        <f>VLOOKUP($C1337,'Variable Information'!$A$1:$C$480,3,FALSE)</f>
        <v>Q25_7. How helpful were each of the following? - A court</v>
      </c>
      <c r="C1337" s="35" t="s">
        <v>649</v>
      </c>
      <c r="D1337" s="30" t="s">
        <v>1447</v>
      </c>
      <c r="E1337" s="15" t="s">
        <v>1665</v>
      </c>
    </row>
    <row r="1338" spans="1:5" x14ac:dyDescent="0.25">
      <c r="A1338" s="36" t="e">
        <f>VLOOKUP($C1338,'Variable Information'!$A$2:$E$480,5,FALSE)</f>
        <v>#N/A</v>
      </c>
      <c r="B1338" s="36" t="e">
        <f>VLOOKUP($C1338,'Variable Information'!$A$1:$C$480,3,FALSE)</f>
        <v>#N/A</v>
      </c>
      <c r="C1338" s="35"/>
      <c r="D1338" s="30" t="s">
        <v>1449</v>
      </c>
      <c r="E1338" s="15" t="s">
        <v>1666</v>
      </c>
    </row>
    <row r="1339" spans="1:5" x14ac:dyDescent="0.25">
      <c r="A1339" s="36" t="e">
        <f>VLOOKUP($C1339,'Variable Information'!$A$2:$E$480,5,FALSE)</f>
        <v>#N/A</v>
      </c>
      <c r="B1339" s="36" t="e">
        <f>VLOOKUP($C1339,'Variable Information'!$A$1:$C$480,3,FALSE)</f>
        <v>#N/A</v>
      </c>
      <c r="C1339" s="35"/>
      <c r="D1339" s="30" t="s">
        <v>1451</v>
      </c>
      <c r="E1339" s="15" t="s">
        <v>1667</v>
      </c>
    </row>
    <row r="1340" spans="1:5" x14ac:dyDescent="0.25">
      <c r="A1340" s="36" t="e">
        <f>VLOOKUP($C1340,'Variable Information'!$A$2:$E$480,5,FALSE)</f>
        <v>#N/A</v>
      </c>
      <c r="B1340" s="36" t="e">
        <f>VLOOKUP($C1340,'Variable Information'!$A$1:$C$480,3,FALSE)</f>
        <v>#N/A</v>
      </c>
      <c r="C1340" s="35"/>
      <c r="D1340" s="30" t="s">
        <v>1456</v>
      </c>
      <c r="E1340" s="15" t="s">
        <v>1668</v>
      </c>
    </row>
    <row r="1341" spans="1:5" x14ac:dyDescent="0.25">
      <c r="A1341" s="36" t="e">
        <f>VLOOKUP($C1341,'Variable Information'!$A$2:$E$480,5,FALSE)</f>
        <v>#N/A</v>
      </c>
      <c r="B1341" s="36" t="e">
        <f>VLOOKUP($C1341,'Variable Information'!$A$1:$C$480,3,FALSE)</f>
        <v>#N/A</v>
      </c>
      <c r="C1341" s="35"/>
      <c r="D1341" s="30" t="s">
        <v>1458</v>
      </c>
      <c r="E1341" s="15" t="s">
        <v>1669</v>
      </c>
    </row>
    <row r="1342" spans="1:5" x14ac:dyDescent="0.25">
      <c r="A1342" s="36" t="e">
        <f>VLOOKUP($C1342,'Variable Information'!$A$2:$E$480,5,FALSE)</f>
        <v>#N/A</v>
      </c>
      <c r="B1342" s="36" t="e">
        <f>VLOOKUP($C1342,'Variable Information'!$A$1:$C$480,3,FALSE)</f>
        <v>#N/A</v>
      </c>
      <c r="C1342" s="35"/>
      <c r="D1342" s="30" t="s">
        <v>1460</v>
      </c>
      <c r="E1342" s="15" t="s">
        <v>1663</v>
      </c>
    </row>
    <row r="1343" spans="1:5" x14ac:dyDescent="0.25">
      <c r="A1343" s="36" t="str">
        <f>VLOOKUP($C1343,'Variable Information'!$A$2:$E$480,5,FALSE)</f>
        <v>AJD_adviser_help_2</v>
      </c>
      <c r="B1343" s="36" t="str">
        <f>VLOOKUP($C1343,'Variable Information'!$A$1:$C$480,3,FALSE)</f>
        <v>Q25_7. How helpful were each of the following? - A tribunal</v>
      </c>
      <c r="C1343" s="35" t="s">
        <v>652</v>
      </c>
      <c r="D1343" s="30" t="s">
        <v>1447</v>
      </c>
      <c r="E1343" s="15" t="s">
        <v>1665</v>
      </c>
    </row>
    <row r="1344" spans="1:5" x14ac:dyDescent="0.25">
      <c r="A1344" s="36" t="e">
        <f>VLOOKUP($C1344,'Variable Information'!$A$2:$E$480,5,FALSE)</f>
        <v>#N/A</v>
      </c>
      <c r="B1344" s="36" t="e">
        <f>VLOOKUP($C1344,'Variable Information'!$A$1:$C$480,3,FALSE)</f>
        <v>#N/A</v>
      </c>
      <c r="C1344" s="35"/>
      <c r="D1344" s="30" t="s">
        <v>1449</v>
      </c>
      <c r="E1344" s="15" t="s">
        <v>1666</v>
      </c>
    </row>
    <row r="1345" spans="1:5" x14ac:dyDescent="0.25">
      <c r="A1345" s="36" t="e">
        <f>VLOOKUP($C1345,'Variable Information'!$A$2:$E$480,5,FALSE)</f>
        <v>#N/A</v>
      </c>
      <c r="B1345" s="36" t="e">
        <f>VLOOKUP($C1345,'Variable Information'!$A$1:$C$480,3,FALSE)</f>
        <v>#N/A</v>
      </c>
      <c r="C1345" s="35"/>
      <c r="D1345" s="30" t="s">
        <v>1451</v>
      </c>
      <c r="E1345" s="15" t="s">
        <v>1667</v>
      </c>
    </row>
    <row r="1346" spans="1:5" x14ac:dyDescent="0.25">
      <c r="A1346" s="36" t="e">
        <f>VLOOKUP($C1346,'Variable Information'!$A$2:$E$480,5,FALSE)</f>
        <v>#N/A</v>
      </c>
      <c r="B1346" s="36" t="e">
        <f>VLOOKUP($C1346,'Variable Information'!$A$1:$C$480,3,FALSE)</f>
        <v>#N/A</v>
      </c>
      <c r="C1346" s="35"/>
      <c r="D1346" s="30" t="s">
        <v>1456</v>
      </c>
      <c r="E1346" s="15" t="s">
        <v>1668</v>
      </c>
    </row>
    <row r="1347" spans="1:5" x14ac:dyDescent="0.25">
      <c r="A1347" s="36" t="e">
        <f>VLOOKUP($C1347,'Variable Information'!$A$2:$E$480,5,FALSE)</f>
        <v>#N/A</v>
      </c>
      <c r="B1347" s="36" t="e">
        <f>VLOOKUP($C1347,'Variable Information'!$A$1:$C$480,3,FALSE)</f>
        <v>#N/A</v>
      </c>
      <c r="C1347" s="35"/>
      <c r="D1347" s="30" t="s">
        <v>1458</v>
      </c>
      <c r="E1347" s="15" t="s">
        <v>1669</v>
      </c>
    </row>
    <row r="1348" spans="1:5" x14ac:dyDescent="0.25">
      <c r="A1348" s="36" t="e">
        <f>VLOOKUP($C1348,'Variable Information'!$A$2:$E$480,5,FALSE)</f>
        <v>#N/A</v>
      </c>
      <c r="B1348" s="36" t="e">
        <f>VLOOKUP($C1348,'Variable Information'!$A$1:$C$480,3,FALSE)</f>
        <v>#N/A</v>
      </c>
      <c r="C1348" s="35"/>
      <c r="D1348" s="30" t="s">
        <v>1460</v>
      </c>
      <c r="E1348" s="15" t="s">
        <v>1663</v>
      </c>
    </row>
    <row r="1349" spans="1:5" x14ac:dyDescent="0.25">
      <c r="A1349" s="36" t="str">
        <f>VLOOKUP($C1349,'Variable Information'!$A$2:$E$480,5,FALSE)</f>
        <v>AJD_adviser_help_3</v>
      </c>
      <c r="B1349" s="36" t="str">
        <f>VLOOKUP($C1349,'Variable Information'!$A$1:$C$480,3,FALSE)</f>
        <v>Q25_7. How helpful were each of the following? - An Ombudsman</v>
      </c>
      <c r="C1349" s="35" t="s">
        <v>655</v>
      </c>
      <c r="D1349" s="30" t="s">
        <v>1447</v>
      </c>
      <c r="E1349" s="15" t="s">
        <v>1665</v>
      </c>
    </row>
    <row r="1350" spans="1:5" x14ac:dyDescent="0.25">
      <c r="A1350" s="36" t="e">
        <f>VLOOKUP($C1350,'Variable Information'!$A$2:$E$480,5,FALSE)</f>
        <v>#N/A</v>
      </c>
      <c r="B1350" s="36" t="e">
        <f>VLOOKUP($C1350,'Variable Information'!$A$1:$C$480,3,FALSE)</f>
        <v>#N/A</v>
      </c>
      <c r="C1350" s="35"/>
      <c r="D1350" s="30" t="s">
        <v>1449</v>
      </c>
      <c r="E1350" s="15" t="s">
        <v>1666</v>
      </c>
    </row>
    <row r="1351" spans="1:5" x14ac:dyDescent="0.25">
      <c r="A1351" s="36" t="e">
        <f>VLOOKUP($C1351,'Variable Information'!$A$2:$E$480,5,FALSE)</f>
        <v>#N/A</v>
      </c>
      <c r="B1351" s="36" t="e">
        <f>VLOOKUP($C1351,'Variable Information'!$A$1:$C$480,3,FALSE)</f>
        <v>#N/A</v>
      </c>
      <c r="C1351" s="35"/>
      <c r="D1351" s="30" t="s">
        <v>1451</v>
      </c>
      <c r="E1351" s="15" t="s">
        <v>1667</v>
      </c>
    </row>
    <row r="1352" spans="1:5" x14ac:dyDescent="0.25">
      <c r="A1352" s="36" t="e">
        <f>VLOOKUP($C1352,'Variable Information'!$A$2:$E$480,5,FALSE)</f>
        <v>#N/A</v>
      </c>
      <c r="B1352" s="36" t="e">
        <f>VLOOKUP($C1352,'Variable Information'!$A$1:$C$480,3,FALSE)</f>
        <v>#N/A</v>
      </c>
      <c r="C1352" s="35"/>
      <c r="D1352" s="30" t="s">
        <v>1456</v>
      </c>
      <c r="E1352" s="15" t="s">
        <v>1668</v>
      </c>
    </row>
    <row r="1353" spans="1:5" x14ac:dyDescent="0.25">
      <c r="A1353" s="36" t="e">
        <f>VLOOKUP($C1353,'Variable Information'!$A$2:$E$480,5,FALSE)</f>
        <v>#N/A</v>
      </c>
      <c r="B1353" s="36" t="e">
        <f>VLOOKUP($C1353,'Variable Information'!$A$1:$C$480,3,FALSE)</f>
        <v>#N/A</v>
      </c>
      <c r="C1353" s="35"/>
      <c r="D1353" s="30" t="s">
        <v>1458</v>
      </c>
      <c r="E1353" s="15" t="s">
        <v>1669</v>
      </c>
    </row>
    <row r="1354" spans="1:5" x14ac:dyDescent="0.25">
      <c r="A1354" s="36" t="e">
        <f>VLOOKUP($C1354,'Variable Information'!$A$2:$E$480,5,FALSE)</f>
        <v>#N/A</v>
      </c>
      <c r="B1354" s="36" t="e">
        <f>VLOOKUP($C1354,'Variable Information'!$A$1:$C$480,3,FALSE)</f>
        <v>#N/A</v>
      </c>
      <c r="C1354" s="35"/>
      <c r="D1354" s="30" t="s">
        <v>1460</v>
      </c>
      <c r="E1354" s="15" t="s">
        <v>1663</v>
      </c>
    </row>
    <row r="1355" spans="1:5" x14ac:dyDescent="0.25">
      <c r="A1355" s="36" t="str">
        <f>VLOOKUP($C1355,'Variable Information'!$A$2:$E$480,5,FALSE)</f>
        <v>AJD_adviser_help_4</v>
      </c>
      <c r="B1355" s="36" t="str">
        <f>VLOOKUP($C1355,'Variable Information'!$A$1:$C$480,3,FALSE)</f>
        <v>Q25_7. How helpful were each of the following? - The Gardai/police</v>
      </c>
      <c r="C1355" s="35" t="s">
        <v>658</v>
      </c>
      <c r="D1355" s="30" t="s">
        <v>1447</v>
      </c>
      <c r="E1355" s="15" t="s">
        <v>1665</v>
      </c>
    </row>
    <row r="1356" spans="1:5" x14ac:dyDescent="0.25">
      <c r="A1356" s="36" t="e">
        <f>VLOOKUP($C1356,'Variable Information'!$A$2:$E$480,5,FALSE)</f>
        <v>#N/A</v>
      </c>
      <c r="B1356" s="36" t="e">
        <f>VLOOKUP($C1356,'Variable Information'!$A$1:$C$480,3,FALSE)</f>
        <v>#N/A</v>
      </c>
      <c r="C1356" s="35"/>
      <c r="D1356" s="30" t="s">
        <v>1449</v>
      </c>
      <c r="E1356" s="15" t="s">
        <v>1666</v>
      </c>
    </row>
    <row r="1357" spans="1:5" x14ac:dyDescent="0.25">
      <c r="A1357" s="36" t="e">
        <f>VLOOKUP($C1357,'Variable Information'!$A$2:$E$480,5,FALSE)</f>
        <v>#N/A</v>
      </c>
      <c r="B1357" s="36" t="e">
        <f>VLOOKUP($C1357,'Variable Information'!$A$1:$C$480,3,FALSE)</f>
        <v>#N/A</v>
      </c>
      <c r="C1357" s="35"/>
      <c r="D1357" s="30" t="s">
        <v>1451</v>
      </c>
      <c r="E1357" s="15" t="s">
        <v>1667</v>
      </c>
    </row>
    <row r="1358" spans="1:5" x14ac:dyDescent="0.25">
      <c r="A1358" s="36" t="e">
        <f>VLOOKUP($C1358,'Variable Information'!$A$2:$E$480,5,FALSE)</f>
        <v>#N/A</v>
      </c>
      <c r="B1358" s="36" t="e">
        <f>VLOOKUP($C1358,'Variable Information'!$A$1:$C$480,3,FALSE)</f>
        <v>#N/A</v>
      </c>
      <c r="C1358" s="35"/>
      <c r="D1358" s="30" t="s">
        <v>1456</v>
      </c>
      <c r="E1358" s="15" t="s">
        <v>1668</v>
      </c>
    </row>
    <row r="1359" spans="1:5" x14ac:dyDescent="0.25">
      <c r="A1359" s="36" t="e">
        <f>VLOOKUP($C1359,'Variable Information'!$A$2:$E$480,5,FALSE)</f>
        <v>#N/A</v>
      </c>
      <c r="B1359" s="36" t="e">
        <f>VLOOKUP($C1359,'Variable Information'!$A$1:$C$480,3,FALSE)</f>
        <v>#N/A</v>
      </c>
      <c r="C1359" s="35"/>
      <c r="D1359" s="30" t="s">
        <v>1458</v>
      </c>
      <c r="E1359" s="15" t="s">
        <v>1669</v>
      </c>
    </row>
    <row r="1360" spans="1:5" x14ac:dyDescent="0.25">
      <c r="A1360" s="36" t="e">
        <f>VLOOKUP($C1360,'Variable Information'!$A$2:$E$480,5,FALSE)</f>
        <v>#N/A</v>
      </c>
      <c r="B1360" s="36" t="e">
        <f>VLOOKUP($C1360,'Variable Information'!$A$1:$C$480,3,FALSE)</f>
        <v>#N/A</v>
      </c>
      <c r="C1360" s="35"/>
      <c r="D1360" s="30" t="s">
        <v>1460</v>
      </c>
      <c r="E1360" s="15" t="s">
        <v>1663</v>
      </c>
    </row>
    <row r="1361" spans="1:5" x14ac:dyDescent="0.25">
      <c r="A1361" s="36" t="str">
        <f>VLOOKUP($C1361,'Variable Information'!$A$2:$E$480,5,FALSE)</f>
        <v>AJD_adviser_help_5</v>
      </c>
      <c r="B1361" s="36" t="str">
        <f>VLOOKUP($C1361,'Variable Information'!$A$1:$C$480,3,FALSE)</f>
        <v>Q25_7. How helpful were each of the following? - Family Mediation Service</v>
      </c>
      <c r="C1361" s="35" t="s">
        <v>661</v>
      </c>
      <c r="D1361" s="30" t="s">
        <v>1447</v>
      </c>
      <c r="E1361" s="15" t="s">
        <v>1665</v>
      </c>
    </row>
    <row r="1362" spans="1:5" x14ac:dyDescent="0.25">
      <c r="A1362" s="36" t="e">
        <f>VLOOKUP($C1362,'Variable Information'!$A$2:$E$480,5,FALSE)</f>
        <v>#N/A</v>
      </c>
      <c r="B1362" s="36" t="e">
        <f>VLOOKUP($C1362,'Variable Information'!$A$1:$C$480,3,FALSE)</f>
        <v>#N/A</v>
      </c>
      <c r="C1362" s="35"/>
      <c r="D1362" s="30" t="s">
        <v>1449</v>
      </c>
      <c r="E1362" s="15" t="s">
        <v>1666</v>
      </c>
    </row>
    <row r="1363" spans="1:5" x14ac:dyDescent="0.25">
      <c r="A1363" s="36" t="e">
        <f>VLOOKUP($C1363,'Variable Information'!$A$2:$E$480,5,FALSE)</f>
        <v>#N/A</v>
      </c>
      <c r="B1363" s="36" t="e">
        <f>VLOOKUP($C1363,'Variable Information'!$A$1:$C$480,3,FALSE)</f>
        <v>#N/A</v>
      </c>
      <c r="C1363" s="35"/>
      <c r="D1363" s="30" t="s">
        <v>1451</v>
      </c>
      <c r="E1363" s="15" t="s">
        <v>1667</v>
      </c>
    </row>
    <row r="1364" spans="1:5" x14ac:dyDescent="0.25">
      <c r="A1364" s="36" t="e">
        <f>VLOOKUP($C1364,'Variable Information'!$A$2:$E$480,5,FALSE)</f>
        <v>#N/A</v>
      </c>
      <c r="B1364" s="36" t="e">
        <f>VLOOKUP($C1364,'Variable Information'!$A$1:$C$480,3,FALSE)</f>
        <v>#N/A</v>
      </c>
      <c r="C1364" s="35"/>
      <c r="D1364" s="30" t="s">
        <v>1456</v>
      </c>
      <c r="E1364" s="15" t="s">
        <v>1668</v>
      </c>
    </row>
    <row r="1365" spans="1:5" x14ac:dyDescent="0.25">
      <c r="A1365" s="36" t="e">
        <f>VLOOKUP($C1365,'Variable Information'!$A$2:$E$480,5,FALSE)</f>
        <v>#N/A</v>
      </c>
      <c r="B1365" s="36" t="e">
        <f>VLOOKUP($C1365,'Variable Information'!$A$1:$C$480,3,FALSE)</f>
        <v>#N/A</v>
      </c>
      <c r="C1365" s="35"/>
      <c r="D1365" s="30" t="s">
        <v>1458</v>
      </c>
      <c r="E1365" s="15" t="s">
        <v>1669</v>
      </c>
    </row>
    <row r="1366" spans="1:5" x14ac:dyDescent="0.25">
      <c r="A1366" s="36" t="e">
        <f>VLOOKUP($C1366,'Variable Information'!$A$2:$E$480,5,FALSE)</f>
        <v>#N/A</v>
      </c>
      <c r="B1366" s="36" t="e">
        <f>VLOOKUP($C1366,'Variable Information'!$A$1:$C$480,3,FALSE)</f>
        <v>#N/A</v>
      </c>
      <c r="C1366" s="35"/>
      <c r="D1366" s="30" t="s">
        <v>1460</v>
      </c>
      <c r="E1366" s="15" t="s">
        <v>1663</v>
      </c>
    </row>
    <row r="1367" spans="1:5" x14ac:dyDescent="0.25">
      <c r="A1367" s="36" t="str">
        <f>VLOOKUP($C1367,'Variable Information'!$A$2:$E$480,5,FALSE)</f>
        <v>AJD_adviser_help_6</v>
      </c>
      <c r="B1367" s="36" t="str">
        <f>VLOOKUP($C1367,'Variable Information'!$A$1:$C$480,3,FALSE)</f>
        <v>Q25_7. How helpful were each of the following? - Another mediation, conciliation or other complaint or dispute resolution service</v>
      </c>
      <c r="C1367" s="35" t="s">
        <v>664</v>
      </c>
      <c r="D1367" s="30" t="s">
        <v>1447</v>
      </c>
      <c r="E1367" s="15" t="s">
        <v>1665</v>
      </c>
    </row>
    <row r="1368" spans="1:5" x14ac:dyDescent="0.25">
      <c r="A1368" s="36" t="e">
        <f>VLOOKUP($C1368,'Variable Information'!$A$2:$E$480,5,FALSE)</f>
        <v>#N/A</v>
      </c>
      <c r="B1368" s="36" t="e">
        <f>VLOOKUP($C1368,'Variable Information'!$A$1:$C$480,3,FALSE)</f>
        <v>#N/A</v>
      </c>
      <c r="C1368" s="35"/>
      <c r="D1368" s="30" t="s">
        <v>1449</v>
      </c>
      <c r="E1368" s="15" t="s">
        <v>1666</v>
      </c>
    </row>
    <row r="1369" spans="1:5" x14ac:dyDescent="0.25">
      <c r="A1369" s="36" t="e">
        <f>VLOOKUP($C1369,'Variable Information'!$A$2:$E$480,5,FALSE)</f>
        <v>#N/A</v>
      </c>
      <c r="B1369" s="36" t="e">
        <f>VLOOKUP($C1369,'Variable Information'!$A$1:$C$480,3,FALSE)</f>
        <v>#N/A</v>
      </c>
      <c r="C1369" s="35"/>
      <c r="D1369" s="30" t="s">
        <v>1451</v>
      </c>
      <c r="E1369" s="15" t="s">
        <v>1667</v>
      </c>
    </row>
    <row r="1370" spans="1:5" x14ac:dyDescent="0.25">
      <c r="A1370" s="36" t="e">
        <f>VLOOKUP($C1370,'Variable Information'!$A$2:$E$480,5,FALSE)</f>
        <v>#N/A</v>
      </c>
      <c r="B1370" s="36" t="e">
        <f>VLOOKUP($C1370,'Variable Information'!$A$1:$C$480,3,FALSE)</f>
        <v>#N/A</v>
      </c>
      <c r="C1370" s="35"/>
      <c r="D1370" s="30" t="s">
        <v>1456</v>
      </c>
      <c r="E1370" s="15" t="s">
        <v>1668</v>
      </c>
    </row>
    <row r="1371" spans="1:5" x14ac:dyDescent="0.25">
      <c r="A1371" s="36" t="e">
        <f>VLOOKUP($C1371,'Variable Information'!$A$2:$E$480,5,FALSE)</f>
        <v>#N/A</v>
      </c>
      <c r="B1371" s="36" t="e">
        <f>VLOOKUP($C1371,'Variable Information'!$A$1:$C$480,3,FALSE)</f>
        <v>#N/A</v>
      </c>
      <c r="C1371" s="35"/>
      <c r="D1371" s="30" t="s">
        <v>1458</v>
      </c>
      <c r="E1371" s="15" t="s">
        <v>1669</v>
      </c>
    </row>
    <row r="1372" spans="1:5" x14ac:dyDescent="0.25">
      <c r="A1372" s="36" t="e">
        <f>VLOOKUP($C1372,'Variable Information'!$A$2:$E$480,5,FALSE)</f>
        <v>#N/A</v>
      </c>
      <c r="B1372" s="36" t="e">
        <f>VLOOKUP($C1372,'Variable Information'!$A$1:$C$480,3,FALSE)</f>
        <v>#N/A</v>
      </c>
      <c r="C1372" s="35"/>
      <c r="D1372" s="30" t="s">
        <v>1460</v>
      </c>
      <c r="E1372" s="15" t="s">
        <v>1663</v>
      </c>
    </row>
    <row r="1373" spans="1:5" x14ac:dyDescent="0.25">
      <c r="A1373" s="36" t="str">
        <f>VLOOKUP($C1373,'Variable Information'!$A$2:$E$480,5,FALSE)</f>
        <v>AJD_adviser_help_7</v>
      </c>
      <c r="B1373" s="36" t="str">
        <f>VLOOKUP($C1373,'Variable Information'!$A$1:$C$480,3,FALSE)</f>
        <v>Q25_7. How helpful were each of the following? - A private solicitor or person working in a solicitor's office</v>
      </c>
      <c r="C1373" s="35" t="s">
        <v>667</v>
      </c>
      <c r="D1373" s="30" t="s">
        <v>1447</v>
      </c>
      <c r="E1373" s="15" t="s">
        <v>1665</v>
      </c>
    </row>
    <row r="1374" spans="1:5" x14ac:dyDescent="0.25">
      <c r="A1374" s="36" t="e">
        <f>VLOOKUP($C1374,'Variable Information'!$A$2:$E$480,5,FALSE)</f>
        <v>#N/A</v>
      </c>
      <c r="B1374" s="36" t="e">
        <f>VLOOKUP($C1374,'Variable Information'!$A$1:$C$480,3,FALSE)</f>
        <v>#N/A</v>
      </c>
      <c r="C1374" s="35"/>
      <c r="D1374" s="30" t="s">
        <v>1449</v>
      </c>
      <c r="E1374" s="15" t="s">
        <v>1666</v>
      </c>
    </row>
    <row r="1375" spans="1:5" x14ac:dyDescent="0.25">
      <c r="A1375" s="36" t="e">
        <f>VLOOKUP($C1375,'Variable Information'!$A$2:$E$480,5,FALSE)</f>
        <v>#N/A</v>
      </c>
      <c r="B1375" s="36" t="e">
        <f>VLOOKUP($C1375,'Variable Information'!$A$1:$C$480,3,FALSE)</f>
        <v>#N/A</v>
      </c>
      <c r="C1375" s="35"/>
      <c r="D1375" s="30" t="s">
        <v>1451</v>
      </c>
      <c r="E1375" s="15" t="s">
        <v>1667</v>
      </c>
    </row>
    <row r="1376" spans="1:5" x14ac:dyDescent="0.25">
      <c r="A1376" s="36" t="e">
        <f>VLOOKUP($C1376,'Variable Information'!$A$2:$E$480,5,FALSE)</f>
        <v>#N/A</v>
      </c>
      <c r="B1376" s="36" t="e">
        <f>VLOOKUP($C1376,'Variable Information'!$A$1:$C$480,3,FALSE)</f>
        <v>#N/A</v>
      </c>
      <c r="C1376" s="35"/>
      <c r="D1376" s="30" t="s">
        <v>1456</v>
      </c>
      <c r="E1376" s="15" t="s">
        <v>1668</v>
      </c>
    </row>
    <row r="1377" spans="1:5" x14ac:dyDescent="0.25">
      <c r="A1377" s="36" t="e">
        <f>VLOOKUP($C1377,'Variable Information'!$A$2:$E$480,5,FALSE)</f>
        <v>#N/A</v>
      </c>
      <c r="B1377" s="36" t="e">
        <f>VLOOKUP($C1377,'Variable Information'!$A$1:$C$480,3,FALSE)</f>
        <v>#N/A</v>
      </c>
      <c r="C1377" s="35"/>
      <c r="D1377" s="30" t="s">
        <v>1458</v>
      </c>
      <c r="E1377" s="15" t="s">
        <v>1669</v>
      </c>
    </row>
    <row r="1378" spans="1:5" x14ac:dyDescent="0.25">
      <c r="A1378" s="36" t="e">
        <f>VLOOKUP($C1378,'Variable Information'!$A$2:$E$480,5,FALSE)</f>
        <v>#N/A</v>
      </c>
      <c r="B1378" s="36" t="e">
        <f>VLOOKUP($C1378,'Variable Information'!$A$1:$C$480,3,FALSE)</f>
        <v>#N/A</v>
      </c>
      <c r="C1378" s="35"/>
      <c r="D1378" s="30" t="s">
        <v>1460</v>
      </c>
      <c r="E1378" s="15" t="s">
        <v>1663</v>
      </c>
    </row>
    <row r="1379" spans="1:5" x14ac:dyDescent="0.25">
      <c r="A1379" s="36" t="str">
        <f>VLOOKUP($C1379,'Variable Information'!$A$2:$E$480,5,FALSE)</f>
        <v>AJD_adviser_help_8</v>
      </c>
      <c r="B1379" s="36" t="str">
        <f>VLOOKUP($C1379,'Variable Information'!$A$1:$C$480,3,FALSE)</f>
        <v>Q25_7. How helpful were each of the following? - A private barrister or person working in a barrister's office</v>
      </c>
      <c r="C1379" s="35" t="s">
        <v>670</v>
      </c>
      <c r="D1379" s="30" t="s">
        <v>1447</v>
      </c>
      <c r="E1379" s="15" t="s">
        <v>1665</v>
      </c>
    </row>
    <row r="1380" spans="1:5" x14ac:dyDescent="0.25">
      <c r="A1380" s="36" t="e">
        <f>VLOOKUP($C1380,'Variable Information'!$A$2:$E$480,5,FALSE)</f>
        <v>#N/A</v>
      </c>
      <c r="B1380" s="36" t="e">
        <f>VLOOKUP($C1380,'Variable Information'!$A$1:$C$480,3,FALSE)</f>
        <v>#N/A</v>
      </c>
      <c r="C1380" s="35"/>
      <c r="D1380" s="30" t="s">
        <v>1449</v>
      </c>
      <c r="E1380" s="15" t="s">
        <v>1666</v>
      </c>
    </row>
    <row r="1381" spans="1:5" x14ac:dyDescent="0.25">
      <c r="A1381" s="36" t="e">
        <f>VLOOKUP($C1381,'Variable Information'!$A$2:$E$480,5,FALSE)</f>
        <v>#N/A</v>
      </c>
      <c r="B1381" s="36" t="e">
        <f>VLOOKUP($C1381,'Variable Information'!$A$1:$C$480,3,FALSE)</f>
        <v>#N/A</v>
      </c>
      <c r="C1381" s="35"/>
      <c r="D1381" s="30" t="s">
        <v>1451</v>
      </c>
      <c r="E1381" s="15" t="s">
        <v>1667</v>
      </c>
    </row>
    <row r="1382" spans="1:5" x14ac:dyDescent="0.25">
      <c r="A1382" s="36" t="e">
        <f>VLOOKUP($C1382,'Variable Information'!$A$2:$E$480,5,FALSE)</f>
        <v>#N/A</v>
      </c>
      <c r="B1382" s="36" t="e">
        <f>VLOOKUP($C1382,'Variable Information'!$A$1:$C$480,3,FALSE)</f>
        <v>#N/A</v>
      </c>
      <c r="C1382" s="35"/>
      <c r="D1382" s="30" t="s">
        <v>1456</v>
      </c>
      <c r="E1382" s="15" t="s">
        <v>1668</v>
      </c>
    </row>
    <row r="1383" spans="1:5" x14ac:dyDescent="0.25">
      <c r="A1383" s="36" t="e">
        <f>VLOOKUP($C1383,'Variable Information'!$A$2:$E$480,5,FALSE)</f>
        <v>#N/A</v>
      </c>
      <c r="B1383" s="36" t="e">
        <f>VLOOKUP($C1383,'Variable Information'!$A$1:$C$480,3,FALSE)</f>
        <v>#N/A</v>
      </c>
      <c r="C1383" s="35"/>
      <c r="D1383" s="30" t="s">
        <v>1458</v>
      </c>
      <c r="E1383" s="15" t="s">
        <v>1669</v>
      </c>
    </row>
    <row r="1384" spans="1:5" x14ac:dyDescent="0.25">
      <c r="A1384" s="36" t="e">
        <f>VLOOKUP($C1384,'Variable Information'!$A$2:$E$480,5,FALSE)</f>
        <v>#N/A</v>
      </c>
      <c r="B1384" s="36" t="e">
        <f>VLOOKUP($C1384,'Variable Information'!$A$1:$C$480,3,FALSE)</f>
        <v>#N/A</v>
      </c>
      <c r="C1384" s="35"/>
      <c r="D1384" s="30" t="s">
        <v>1460</v>
      </c>
      <c r="E1384" s="15" t="s">
        <v>1663</v>
      </c>
    </row>
    <row r="1385" spans="1:5" x14ac:dyDescent="0.25">
      <c r="A1385" s="36" t="str">
        <f>VLOOKUP($C1385,'Variable Information'!$A$2:$E$480,5,FALSE)</f>
        <v>AJD_adviser_help_9</v>
      </c>
      <c r="B1385" s="36" t="str">
        <f>VLOOKUP($C1385,'Variable Information'!$A$1:$C$480,3,FALSE)</f>
        <v>Q25_7. How helpful were each of the following? - A Legal Aid Board Law Centre</v>
      </c>
      <c r="C1385" s="35" t="s">
        <v>673</v>
      </c>
      <c r="D1385" s="30" t="s">
        <v>1447</v>
      </c>
      <c r="E1385" s="15" t="s">
        <v>1665</v>
      </c>
    </row>
    <row r="1386" spans="1:5" x14ac:dyDescent="0.25">
      <c r="A1386" s="36" t="e">
        <f>VLOOKUP($C1386,'Variable Information'!$A$2:$E$480,5,FALSE)</f>
        <v>#N/A</v>
      </c>
      <c r="B1386" s="36" t="e">
        <f>VLOOKUP($C1386,'Variable Information'!$A$1:$C$480,3,FALSE)</f>
        <v>#N/A</v>
      </c>
      <c r="C1386" s="35"/>
      <c r="D1386" s="30" t="s">
        <v>1449</v>
      </c>
      <c r="E1386" s="15" t="s">
        <v>1666</v>
      </c>
    </row>
    <row r="1387" spans="1:5" x14ac:dyDescent="0.25">
      <c r="A1387" s="36" t="e">
        <f>VLOOKUP($C1387,'Variable Information'!$A$2:$E$480,5,FALSE)</f>
        <v>#N/A</v>
      </c>
      <c r="B1387" s="36" t="e">
        <f>VLOOKUP($C1387,'Variable Information'!$A$1:$C$480,3,FALSE)</f>
        <v>#N/A</v>
      </c>
      <c r="C1387" s="35"/>
      <c r="D1387" s="30" t="s">
        <v>1451</v>
      </c>
      <c r="E1387" s="15" t="s">
        <v>1667</v>
      </c>
    </row>
    <row r="1388" spans="1:5" x14ac:dyDescent="0.25">
      <c r="A1388" s="36" t="e">
        <f>VLOOKUP($C1388,'Variable Information'!$A$2:$E$480,5,FALSE)</f>
        <v>#N/A</v>
      </c>
      <c r="B1388" s="36" t="e">
        <f>VLOOKUP($C1388,'Variable Information'!$A$1:$C$480,3,FALSE)</f>
        <v>#N/A</v>
      </c>
      <c r="C1388" s="35"/>
      <c r="D1388" s="30" t="s">
        <v>1456</v>
      </c>
      <c r="E1388" s="15" t="s">
        <v>1668</v>
      </c>
    </row>
    <row r="1389" spans="1:5" x14ac:dyDescent="0.25">
      <c r="A1389" s="36" t="e">
        <f>VLOOKUP($C1389,'Variable Information'!$A$2:$E$480,5,FALSE)</f>
        <v>#N/A</v>
      </c>
      <c r="B1389" s="36" t="e">
        <f>VLOOKUP($C1389,'Variable Information'!$A$1:$C$480,3,FALSE)</f>
        <v>#N/A</v>
      </c>
      <c r="C1389" s="35"/>
      <c r="D1389" s="30" t="s">
        <v>1458</v>
      </c>
      <c r="E1389" s="15" t="s">
        <v>1669</v>
      </c>
    </row>
    <row r="1390" spans="1:5" x14ac:dyDescent="0.25">
      <c r="A1390" s="36" t="e">
        <f>VLOOKUP($C1390,'Variable Information'!$A$2:$E$480,5,FALSE)</f>
        <v>#N/A</v>
      </c>
      <c r="B1390" s="36" t="e">
        <f>VLOOKUP($C1390,'Variable Information'!$A$1:$C$480,3,FALSE)</f>
        <v>#N/A</v>
      </c>
      <c r="C1390" s="35"/>
      <c r="D1390" s="30" t="s">
        <v>1460</v>
      </c>
      <c r="E1390" s="15" t="s">
        <v>1663</v>
      </c>
    </row>
    <row r="1391" spans="1:5" x14ac:dyDescent="0.25">
      <c r="A1391" s="36" t="str">
        <f>VLOOKUP($C1391,'Variable Information'!$A$2:$E$480,5,FALSE)</f>
        <v>AJD_adviser_help_10</v>
      </c>
      <c r="B1391" s="36" t="str">
        <f>VLOOKUP($C1391,'Variable Information'!$A$1:$C$480,3,FALSE)</f>
        <v>Q25_7. How helpful were each of the following? - Another law centre such as the Free Legal Advice Centres</v>
      </c>
      <c r="C1391" s="35" t="s">
        <v>676</v>
      </c>
      <c r="D1391" s="30" t="s">
        <v>1447</v>
      </c>
      <c r="E1391" s="15" t="s">
        <v>1665</v>
      </c>
    </row>
    <row r="1392" spans="1:5" x14ac:dyDescent="0.25">
      <c r="A1392" s="36" t="e">
        <f>VLOOKUP($C1392,'Variable Information'!$A$2:$E$480,5,FALSE)</f>
        <v>#N/A</v>
      </c>
      <c r="B1392" s="36" t="e">
        <f>VLOOKUP($C1392,'Variable Information'!$A$1:$C$480,3,FALSE)</f>
        <v>#N/A</v>
      </c>
      <c r="C1392" s="35"/>
      <c r="D1392" s="30" t="s">
        <v>1449</v>
      </c>
      <c r="E1392" s="15" t="s">
        <v>1666</v>
      </c>
    </row>
    <row r="1393" spans="1:5" x14ac:dyDescent="0.25">
      <c r="A1393" s="36" t="e">
        <f>VLOOKUP($C1393,'Variable Information'!$A$2:$E$480,5,FALSE)</f>
        <v>#N/A</v>
      </c>
      <c r="B1393" s="36" t="e">
        <f>VLOOKUP($C1393,'Variable Information'!$A$1:$C$480,3,FALSE)</f>
        <v>#N/A</v>
      </c>
      <c r="C1393" s="35"/>
      <c r="D1393" s="30" t="s">
        <v>1451</v>
      </c>
      <c r="E1393" s="15" t="s">
        <v>1667</v>
      </c>
    </row>
    <row r="1394" spans="1:5" x14ac:dyDescent="0.25">
      <c r="A1394" s="36" t="e">
        <f>VLOOKUP($C1394,'Variable Information'!$A$2:$E$480,5,FALSE)</f>
        <v>#N/A</v>
      </c>
      <c r="B1394" s="36" t="e">
        <f>VLOOKUP($C1394,'Variable Information'!$A$1:$C$480,3,FALSE)</f>
        <v>#N/A</v>
      </c>
      <c r="C1394" s="35"/>
      <c r="D1394" s="30" t="s">
        <v>1456</v>
      </c>
      <c r="E1394" s="15" t="s">
        <v>1668</v>
      </c>
    </row>
    <row r="1395" spans="1:5" x14ac:dyDescent="0.25">
      <c r="A1395" s="36" t="e">
        <f>VLOOKUP($C1395,'Variable Information'!$A$2:$E$480,5,FALSE)</f>
        <v>#N/A</v>
      </c>
      <c r="B1395" s="36" t="e">
        <f>VLOOKUP($C1395,'Variable Information'!$A$1:$C$480,3,FALSE)</f>
        <v>#N/A</v>
      </c>
      <c r="C1395" s="35"/>
      <c r="D1395" s="30" t="s">
        <v>1458</v>
      </c>
      <c r="E1395" s="15" t="s">
        <v>1669</v>
      </c>
    </row>
    <row r="1396" spans="1:5" x14ac:dyDescent="0.25">
      <c r="A1396" s="36" t="e">
        <f>VLOOKUP($C1396,'Variable Information'!$A$2:$E$480,5,FALSE)</f>
        <v>#N/A</v>
      </c>
      <c r="B1396" s="36" t="e">
        <f>VLOOKUP($C1396,'Variable Information'!$A$1:$C$480,3,FALSE)</f>
        <v>#N/A</v>
      </c>
      <c r="C1396" s="35"/>
      <c r="D1396" s="30" t="s">
        <v>1460</v>
      </c>
      <c r="E1396" s="15" t="s">
        <v>1663</v>
      </c>
    </row>
    <row r="1397" spans="1:5" x14ac:dyDescent="0.25">
      <c r="A1397" s="36" t="str">
        <f>VLOOKUP($C1397,'Variable Information'!$A$2:$E$480,5,FALSE)</f>
        <v>AJD_adviser_help_11</v>
      </c>
      <c r="B1397" s="36" t="str">
        <f>VLOOKUP($C1397,'Variable Information'!$A$1:$C$480,3,FALSE)</f>
        <v>Q25_7. How helpful were each of the following? - A government department, local council or government agency</v>
      </c>
      <c r="C1397" s="35" t="s">
        <v>679</v>
      </c>
      <c r="D1397" s="30" t="s">
        <v>1447</v>
      </c>
      <c r="E1397" s="15" t="s">
        <v>1665</v>
      </c>
    </row>
    <row r="1398" spans="1:5" x14ac:dyDescent="0.25">
      <c r="A1398" s="36" t="e">
        <f>VLOOKUP($C1398,'Variable Information'!$A$2:$E$480,5,FALSE)</f>
        <v>#N/A</v>
      </c>
      <c r="B1398" s="36" t="e">
        <f>VLOOKUP($C1398,'Variable Information'!$A$1:$C$480,3,FALSE)</f>
        <v>#N/A</v>
      </c>
      <c r="C1398" s="35"/>
      <c r="D1398" s="30" t="s">
        <v>1449</v>
      </c>
      <c r="E1398" s="15" t="s">
        <v>1666</v>
      </c>
    </row>
    <row r="1399" spans="1:5" x14ac:dyDescent="0.25">
      <c r="A1399" s="36" t="e">
        <f>VLOOKUP($C1399,'Variable Information'!$A$2:$E$480,5,FALSE)</f>
        <v>#N/A</v>
      </c>
      <c r="B1399" s="36" t="e">
        <f>VLOOKUP($C1399,'Variable Information'!$A$1:$C$480,3,FALSE)</f>
        <v>#N/A</v>
      </c>
      <c r="C1399" s="35"/>
      <c r="D1399" s="30" t="s">
        <v>1451</v>
      </c>
      <c r="E1399" s="15" t="s">
        <v>1667</v>
      </c>
    </row>
    <row r="1400" spans="1:5" x14ac:dyDescent="0.25">
      <c r="A1400" s="36" t="e">
        <f>VLOOKUP($C1400,'Variable Information'!$A$2:$E$480,5,FALSE)</f>
        <v>#N/A</v>
      </c>
      <c r="B1400" s="36" t="e">
        <f>VLOOKUP($C1400,'Variable Information'!$A$1:$C$480,3,FALSE)</f>
        <v>#N/A</v>
      </c>
      <c r="C1400" s="35"/>
      <c r="D1400" s="30" t="s">
        <v>1456</v>
      </c>
      <c r="E1400" s="15" t="s">
        <v>1668</v>
      </c>
    </row>
    <row r="1401" spans="1:5" x14ac:dyDescent="0.25">
      <c r="A1401" s="36" t="e">
        <f>VLOOKUP($C1401,'Variable Information'!$A$2:$E$480,5,FALSE)</f>
        <v>#N/A</v>
      </c>
      <c r="B1401" s="36" t="e">
        <f>VLOOKUP($C1401,'Variable Information'!$A$1:$C$480,3,FALSE)</f>
        <v>#N/A</v>
      </c>
      <c r="C1401" s="35"/>
      <c r="D1401" s="30" t="s">
        <v>1458</v>
      </c>
      <c r="E1401" s="15" t="s">
        <v>1669</v>
      </c>
    </row>
    <row r="1402" spans="1:5" x14ac:dyDescent="0.25">
      <c r="A1402" s="36" t="e">
        <f>VLOOKUP($C1402,'Variable Information'!$A$2:$E$480,5,FALSE)</f>
        <v>#N/A</v>
      </c>
      <c r="B1402" s="36" t="e">
        <f>VLOOKUP($C1402,'Variable Information'!$A$1:$C$480,3,FALSE)</f>
        <v>#N/A</v>
      </c>
      <c r="C1402" s="35"/>
      <c r="D1402" s="30" t="s">
        <v>1460</v>
      </c>
      <c r="E1402" s="15" t="s">
        <v>1663</v>
      </c>
    </row>
    <row r="1403" spans="1:5" x14ac:dyDescent="0.25">
      <c r="A1403" s="36" t="str">
        <f>VLOOKUP($C1403,'Variable Information'!$A$2:$E$480,5,FALSE)</f>
        <v>AJD_adviser_help_12</v>
      </c>
      <c r="B1403" s="36" t="str">
        <f>VLOOKUP($C1403,'Variable Information'!$A$1:$C$480,3,FALSE)</f>
        <v>Q25_7. How helpful were each of the following? - A non-legal professional, organisation or help line</v>
      </c>
      <c r="C1403" s="35" t="s">
        <v>682</v>
      </c>
      <c r="D1403" s="30" t="s">
        <v>1447</v>
      </c>
      <c r="E1403" s="15" t="s">
        <v>1665</v>
      </c>
    </row>
    <row r="1404" spans="1:5" x14ac:dyDescent="0.25">
      <c r="A1404" s="36" t="e">
        <f>VLOOKUP($C1404,'Variable Information'!$A$2:$E$480,5,FALSE)</f>
        <v>#N/A</v>
      </c>
      <c r="B1404" s="36" t="e">
        <f>VLOOKUP($C1404,'Variable Information'!$A$1:$C$480,3,FALSE)</f>
        <v>#N/A</v>
      </c>
      <c r="C1404" s="35"/>
      <c r="D1404" s="30" t="s">
        <v>1449</v>
      </c>
      <c r="E1404" s="15" t="s">
        <v>1666</v>
      </c>
    </row>
    <row r="1405" spans="1:5" x14ac:dyDescent="0.25">
      <c r="A1405" s="36" t="e">
        <f>VLOOKUP($C1405,'Variable Information'!$A$2:$E$480,5,FALSE)</f>
        <v>#N/A</v>
      </c>
      <c r="B1405" s="36" t="e">
        <f>VLOOKUP($C1405,'Variable Information'!$A$1:$C$480,3,FALSE)</f>
        <v>#N/A</v>
      </c>
      <c r="C1405" s="35"/>
      <c r="D1405" s="30" t="s">
        <v>1451</v>
      </c>
      <c r="E1405" s="15" t="s">
        <v>1667</v>
      </c>
    </row>
    <row r="1406" spans="1:5" x14ac:dyDescent="0.25">
      <c r="A1406" s="36" t="e">
        <f>VLOOKUP($C1406,'Variable Information'!$A$2:$E$480,5,FALSE)</f>
        <v>#N/A</v>
      </c>
      <c r="B1406" s="36" t="e">
        <f>VLOOKUP($C1406,'Variable Information'!$A$1:$C$480,3,FALSE)</f>
        <v>#N/A</v>
      </c>
      <c r="C1406" s="35"/>
      <c r="D1406" s="30" t="s">
        <v>1456</v>
      </c>
      <c r="E1406" s="15" t="s">
        <v>1668</v>
      </c>
    </row>
    <row r="1407" spans="1:5" x14ac:dyDescent="0.25">
      <c r="A1407" s="36" t="e">
        <f>VLOOKUP($C1407,'Variable Information'!$A$2:$E$480,5,FALSE)</f>
        <v>#N/A</v>
      </c>
      <c r="B1407" s="36" t="e">
        <f>VLOOKUP($C1407,'Variable Information'!$A$1:$C$480,3,FALSE)</f>
        <v>#N/A</v>
      </c>
      <c r="C1407" s="35"/>
      <c r="D1407" s="30" t="s">
        <v>1458</v>
      </c>
      <c r="E1407" s="15" t="s">
        <v>1669</v>
      </c>
    </row>
    <row r="1408" spans="1:5" x14ac:dyDescent="0.25">
      <c r="A1408" s="36" t="e">
        <f>VLOOKUP($C1408,'Variable Information'!$A$2:$E$480,5,FALSE)</f>
        <v>#N/A</v>
      </c>
      <c r="B1408" s="36" t="e">
        <f>VLOOKUP($C1408,'Variable Information'!$A$1:$C$480,3,FALSE)</f>
        <v>#N/A</v>
      </c>
      <c r="C1408" s="35"/>
      <c r="D1408" s="30" t="s">
        <v>1460</v>
      </c>
      <c r="E1408" s="15" t="s">
        <v>1663</v>
      </c>
    </row>
    <row r="1409" spans="1:5" x14ac:dyDescent="0.25">
      <c r="A1409" s="36" t="str">
        <f>VLOOKUP($C1409,'Variable Information'!$A$2:$E$480,5,FALSE)</f>
        <v>AJD_adviser_help_13</v>
      </c>
      <c r="B1409" s="36" t="str">
        <f>VLOOKUP($C1409,'Variable Information'!$A$1:$C$480,3,FALSE)</f>
        <v>Q25_7. How helpful were each of the following? - Other person of standing in the local community</v>
      </c>
      <c r="C1409" s="35" t="s">
        <v>685</v>
      </c>
      <c r="D1409" s="30" t="s">
        <v>1447</v>
      </c>
      <c r="E1409" s="15" t="s">
        <v>1665</v>
      </c>
    </row>
    <row r="1410" spans="1:5" x14ac:dyDescent="0.25">
      <c r="A1410" s="36" t="e">
        <f>VLOOKUP($C1410,'Variable Information'!$A$2:$E$480,5,FALSE)</f>
        <v>#N/A</v>
      </c>
      <c r="B1410" s="36" t="e">
        <f>VLOOKUP($C1410,'Variable Information'!$A$1:$C$480,3,FALSE)</f>
        <v>#N/A</v>
      </c>
      <c r="C1410" s="35"/>
      <c r="D1410" s="30" t="s">
        <v>1449</v>
      </c>
      <c r="E1410" s="15" t="s">
        <v>1666</v>
      </c>
    </row>
    <row r="1411" spans="1:5" x14ac:dyDescent="0.25">
      <c r="A1411" s="36" t="e">
        <f>VLOOKUP($C1411,'Variable Information'!$A$2:$E$480,5,FALSE)</f>
        <v>#N/A</v>
      </c>
      <c r="B1411" s="36" t="e">
        <f>VLOOKUP($C1411,'Variable Information'!$A$1:$C$480,3,FALSE)</f>
        <v>#N/A</v>
      </c>
      <c r="C1411" s="35"/>
      <c r="D1411" s="30" t="s">
        <v>1451</v>
      </c>
      <c r="E1411" s="15" t="s">
        <v>1667</v>
      </c>
    </row>
    <row r="1412" spans="1:5" x14ac:dyDescent="0.25">
      <c r="A1412" s="36" t="e">
        <f>VLOOKUP($C1412,'Variable Information'!$A$2:$E$480,5,FALSE)</f>
        <v>#N/A</v>
      </c>
      <c r="B1412" s="36" t="e">
        <f>VLOOKUP($C1412,'Variable Information'!$A$1:$C$480,3,FALSE)</f>
        <v>#N/A</v>
      </c>
      <c r="C1412" s="35"/>
      <c r="D1412" s="30" t="s">
        <v>1456</v>
      </c>
      <c r="E1412" s="15" t="s">
        <v>1668</v>
      </c>
    </row>
    <row r="1413" spans="1:5" x14ac:dyDescent="0.25">
      <c r="A1413" s="36" t="e">
        <f>VLOOKUP($C1413,'Variable Information'!$A$2:$E$480,5,FALSE)</f>
        <v>#N/A</v>
      </c>
      <c r="B1413" s="36" t="e">
        <f>VLOOKUP($C1413,'Variable Information'!$A$1:$C$480,3,FALSE)</f>
        <v>#N/A</v>
      </c>
      <c r="C1413" s="35"/>
      <c r="D1413" s="30" t="s">
        <v>1458</v>
      </c>
      <c r="E1413" s="15" t="s">
        <v>1669</v>
      </c>
    </row>
    <row r="1414" spans="1:5" x14ac:dyDescent="0.25">
      <c r="A1414" s="36" t="e">
        <f>VLOOKUP($C1414,'Variable Information'!$A$2:$E$480,5,FALSE)</f>
        <v>#N/A</v>
      </c>
      <c r="B1414" s="36" t="e">
        <f>VLOOKUP($C1414,'Variable Information'!$A$1:$C$480,3,FALSE)</f>
        <v>#N/A</v>
      </c>
      <c r="C1414" s="35"/>
      <c r="D1414" s="30" t="s">
        <v>1460</v>
      </c>
      <c r="E1414" s="15" t="s">
        <v>1663</v>
      </c>
    </row>
    <row r="1415" spans="1:5" x14ac:dyDescent="0.25">
      <c r="A1415" s="36" t="str">
        <f>VLOOKUP($C1415,'Variable Information'!$A$2:$E$480,5,FALSE)</f>
        <v>AJD_adviser_help_14</v>
      </c>
      <c r="B1415" s="36" t="str">
        <f>VLOOKUP($C1415,'Variable Information'!$A$1:$C$480,3,FALSE)</f>
        <v>Q25_7. How helpful were each of the following? - Online search</v>
      </c>
      <c r="C1415" s="35" t="s">
        <v>688</v>
      </c>
      <c r="D1415" s="30" t="s">
        <v>1447</v>
      </c>
      <c r="E1415" s="15" t="s">
        <v>1665</v>
      </c>
    </row>
    <row r="1416" spans="1:5" x14ac:dyDescent="0.25">
      <c r="A1416" s="36" t="e">
        <f>VLOOKUP($C1416,'Variable Information'!$A$2:$E$480,5,FALSE)</f>
        <v>#N/A</v>
      </c>
      <c r="B1416" s="36" t="e">
        <f>VLOOKUP($C1416,'Variable Information'!$A$1:$C$480,3,FALSE)</f>
        <v>#N/A</v>
      </c>
      <c r="C1416" s="35"/>
      <c r="D1416" s="30" t="s">
        <v>1449</v>
      </c>
      <c r="E1416" s="15" t="s">
        <v>1666</v>
      </c>
    </row>
    <row r="1417" spans="1:5" x14ac:dyDescent="0.25">
      <c r="A1417" s="36" t="e">
        <f>VLOOKUP($C1417,'Variable Information'!$A$2:$E$480,5,FALSE)</f>
        <v>#N/A</v>
      </c>
      <c r="B1417" s="36" t="e">
        <f>VLOOKUP($C1417,'Variable Information'!$A$1:$C$480,3,FALSE)</f>
        <v>#N/A</v>
      </c>
      <c r="C1417" s="35"/>
      <c r="D1417" s="30" t="s">
        <v>1451</v>
      </c>
      <c r="E1417" s="15" t="s">
        <v>1667</v>
      </c>
    </row>
    <row r="1418" spans="1:5" x14ac:dyDescent="0.25">
      <c r="A1418" s="36" t="e">
        <f>VLOOKUP($C1418,'Variable Information'!$A$2:$E$480,5,FALSE)</f>
        <v>#N/A</v>
      </c>
      <c r="B1418" s="36" t="e">
        <f>VLOOKUP($C1418,'Variable Information'!$A$1:$C$480,3,FALSE)</f>
        <v>#N/A</v>
      </c>
      <c r="C1418" s="35"/>
      <c r="D1418" s="30" t="s">
        <v>1456</v>
      </c>
      <c r="E1418" s="15" t="s">
        <v>1668</v>
      </c>
    </row>
    <row r="1419" spans="1:5" x14ac:dyDescent="0.25">
      <c r="A1419" s="36" t="e">
        <f>VLOOKUP($C1419,'Variable Information'!$A$2:$E$480,5,FALSE)</f>
        <v>#N/A</v>
      </c>
      <c r="B1419" s="36" t="e">
        <f>VLOOKUP($C1419,'Variable Information'!$A$1:$C$480,3,FALSE)</f>
        <v>#N/A</v>
      </c>
      <c r="C1419" s="35"/>
      <c r="D1419" s="30" t="s">
        <v>1458</v>
      </c>
      <c r="E1419" s="15" t="s">
        <v>1669</v>
      </c>
    </row>
    <row r="1420" spans="1:5" x14ac:dyDescent="0.25">
      <c r="A1420" s="36" t="e">
        <f>VLOOKUP($C1420,'Variable Information'!$A$2:$E$480,5,FALSE)</f>
        <v>#N/A</v>
      </c>
      <c r="B1420" s="36" t="e">
        <f>VLOOKUP($C1420,'Variable Information'!$A$1:$C$480,3,FALSE)</f>
        <v>#N/A</v>
      </c>
      <c r="C1420" s="35"/>
      <c r="D1420" s="30" t="s">
        <v>1460</v>
      </c>
      <c r="E1420" s="15" t="s">
        <v>1663</v>
      </c>
    </row>
    <row r="1421" spans="1:5" x14ac:dyDescent="0.25">
      <c r="A1421" s="36" t="str">
        <f>VLOOKUP($C1421,'Variable Information'!$A$2:$E$480,5,FALSE)</f>
        <v>AJD_adviser_help_15</v>
      </c>
      <c r="B1421" s="36" t="str">
        <f>VLOOKUP($C1421,'Variable Information'!$A$1:$C$480,3,FALSE)</f>
        <v>Q25_7. How helpful were each of the following? - Social media</v>
      </c>
      <c r="C1421" s="35" t="s">
        <v>691</v>
      </c>
      <c r="D1421" s="30" t="s">
        <v>1447</v>
      </c>
      <c r="E1421" s="15" t="s">
        <v>1665</v>
      </c>
    </row>
    <row r="1422" spans="1:5" x14ac:dyDescent="0.25">
      <c r="A1422" s="36" t="e">
        <f>VLOOKUP($C1422,'Variable Information'!$A$2:$E$480,5,FALSE)</f>
        <v>#N/A</v>
      </c>
      <c r="B1422" s="36" t="e">
        <f>VLOOKUP($C1422,'Variable Information'!$A$1:$C$480,3,FALSE)</f>
        <v>#N/A</v>
      </c>
      <c r="C1422" s="35"/>
      <c r="D1422" s="30" t="s">
        <v>1449</v>
      </c>
      <c r="E1422" s="15" t="s">
        <v>1666</v>
      </c>
    </row>
    <row r="1423" spans="1:5" x14ac:dyDescent="0.25">
      <c r="A1423" s="36" t="e">
        <f>VLOOKUP($C1423,'Variable Information'!$A$2:$E$480,5,FALSE)</f>
        <v>#N/A</v>
      </c>
      <c r="B1423" s="36" t="e">
        <f>VLOOKUP($C1423,'Variable Information'!$A$1:$C$480,3,FALSE)</f>
        <v>#N/A</v>
      </c>
      <c r="C1423" s="35"/>
      <c r="D1423" s="30" t="s">
        <v>1451</v>
      </c>
      <c r="E1423" s="15" t="s">
        <v>1667</v>
      </c>
    </row>
    <row r="1424" spans="1:5" x14ac:dyDescent="0.25">
      <c r="A1424" s="36" t="e">
        <f>VLOOKUP($C1424,'Variable Information'!$A$2:$E$480,5,FALSE)</f>
        <v>#N/A</v>
      </c>
      <c r="B1424" s="36" t="e">
        <f>VLOOKUP($C1424,'Variable Information'!$A$1:$C$480,3,FALSE)</f>
        <v>#N/A</v>
      </c>
      <c r="C1424" s="35"/>
      <c r="D1424" s="30" t="s">
        <v>1456</v>
      </c>
      <c r="E1424" s="15" t="s">
        <v>1668</v>
      </c>
    </row>
    <row r="1425" spans="1:5" x14ac:dyDescent="0.25">
      <c r="A1425" s="36" t="e">
        <f>VLOOKUP($C1425,'Variable Information'!$A$2:$E$480,5,FALSE)</f>
        <v>#N/A</v>
      </c>
      <c r="B1425" s="36" t="e">
        <f>VLOOKUP($C1425,'Variable Information'!$A$1:$C$480,3,FALSE)</f>
        <v>#N/A</v>
      </c>
      <c r="C1425" s="35"/>
      <c r="D1425" s="30" t="s">
        <v>1458</v>
      </c>
      <c r="E1425" s="15" t="s">
        <v>1669</v>
      </c>
    </row>
    <row r="1426" spans="1:5" x14ac:dyDescent="0.25">
      <c r="A1426" s="36" t="e">
        <f>VLOOKUP($C1426,'Variable Information'!$A$2:$E$480,5,FALSE)</f>
        <v>#N/A</v>
      </c>
      <c r="B1426" s="36" t="e">
        <f>VLOOKUP($C1426,'Variable Information'!$A$1:$C$480,3,FALSE)</f>
        <v>#N/A</v>
      </c>
      <c r="C1426" s="35"/>
      <c r="D1426" s="30" t="s">
        <v>1460</v>
      </c>
      <c r="E1426" s="15" t="s">
        <v>1663</v>
      </c>
    </row>
    <row r="1427" spans="1:5" x14ac:dyDescent="0.25">
      <c r="A1427" s="36" t="str">
        <f>VLOOKUP($C1427,'Variable Information'!$A$2:$E$480,5,FALSE)</f>
        <v>AJD_adviser_help_16</v>
      </c>
      <c r="B1427" s="36" t="str">
        <f>VLOOKUP($C1427,'Variable Information'!$A$1:$C$480,3,FALSE)</f>
        <v>Q25_7. How helpful were each of the following? - AI tools</v>
      </c>
      <c r="C1427" s="35" t="s">
        <v>694</v>
      </c>
      <c r="D1427" s="30" t="s">
        <v>1447</v>
      </c>
      <c r="E1427" s="15" t="s">
        <v>1665</v>
      </c>
    </row>
    <row r="1428" spans="1:5" x14ac:dyDescent="0.25">
      <c r="A1428" s="36" t="e">
        <f>VLOOKUP($C1428,'Variable Information'!$A$2:$E$480,5,FALSE)</f>
        <v>#N/A</v>
      </c>
      <c r="B1428" s="36" t="e">
        <f>VLOOKUP($C1428,'Variable Information'!$A$1:$C$480,3,FALSE)</f>
        <v>#N/A</v>
      </c>
      <c r="C1428" s="35"/>
      <c r="D1428" s="30" t="s">
        <v>1449</v>
      </c>
      <c r="E1428" s="15" t="s">
        <v>1666</v>
      </c>
    </row>
    <row r="1429" spans="1:5" x14ac:dyDescent="0.25">
      <c r="A1429" s="36" t="e">
        <f>VLOOKUP($C1429,'Variable Information'!$A$2:$E$480,5,FALSE)</f>
        <v>#N/A</v>
      </c>
      <c r="B1429" s="36" t="e">
        <f>VLOOKUP($C1429,'Variable Information'!$A$1:$C$480,3,FALSE)</f>
        <v>#N/A</v>
      </c>
      <c r="C1429" s="35"/>
      <c r="D1429" s="30" t="s">
        <v>1451</v>
      </c>
      <c r="E1429" s="15" t="s">
        <v>1667</v>
      </c>
    </row>
    <row r="1430" spans="1:5" x14ac:dyDescent="0.25">
      <c r="A1430" s="36" t="e">
        <f>VLOOKUP($C1430,'Variable Information'!$A$2:$E$480,5,FALSE)</f>
        <v>#N/A</v>
      </c>
      <c r="B1430" s="36" t="e">
        <f>VLOOKUP($C1430,'Variable Information'!$A$1:$C$480,3,FALSE)</f>
        <v>#N/A</v>
      </c>
      <c r="C1430" s="35"/>
      <c r="D1430" s="30" t="s">
        <v>1456</v>
      </c>
      <c r="E1430" s="15" t="s">
        <v>1668</v>
      </c>
    </row>
    <row r="1431" spans="1:5" x14ac:dyDescent="0.25">
      <c r="A1431" s="36" t="e">
        <f>VLOOKUP($C1431,'Variable Information'!$A$2:$E$480,5,FALSE)</f>
        <v>#N/A</v>
      </c>
      <c r="B1431" s="36" t="e">
        <f>VLOOKUP($C1431,'Variable Information'!$A$1:$C$480,3,FALSE)</f>
        <v>#N/A</v>
      </c>
      <c r="C1431" s="35"/>
      <c r="D1431" s="30" t="s">
        <v>1458</v>
      </c>
      <c r="E1431" s="15" t="s">
        <v>1669</v>
      </c>
    </row>
    <row r="1432" spans="1:5" x14ac:dyDescent="0.25">
      <c r="A1432" s="36" t="e">
        <f>VLOOKUP($C1432,'Variable Information'!$A$2:$E$480,5,FALSE)</f>
        <v>#N/A</v>
      </c>
      <c r="B1432" s="36" t="e">
        <f>VLOOKUP($C1432,'Variable Information'!$A$1:$C$480,3,FALSE)</f>
        <v>#N/A</v>
      </c>
      <c r="C1432" s="35"/>
      <c r="D1432" s="30" t="s">
        <v>1460</v>
      </c>
      <c r="E1432" s="15" t="s">
        <v>1663</v>
      </c>
    </row>
    <row r="1433" spans="1:5" x14ac:dyDescent="0.25">
      <c r="A1433" s="36" t="str">
        <f>VLOOKUP($C1433,'Variable Information'!$A$2:$E$480,5,FALSE)</f>
        <v>AJD_adviser_help_17</v>
      </c>
      <c r="B1433" s="36" t="str">
        <f>VLOOKUP($C1433,'Variable Information'!$A$1:$C$480,3,FALSE)</f>
        <v>Q25_7. How helpful were each of the following? - Another person</v>
      </c>
      <c r="C1433" s="35" t="s">
        <v>697</v>
      </c>
      <c r="D1433" s="30" t="s">
        <v>1447</v>
      </c>
      <c r="E1433" s="15" t="s">
        <v>1665</v>
      </c>
    </row>
    <row r="1434" spans="1:5" x14ac:dyDescent="0.25">
      <c r="A1434" s="36" t="e">
        <f>VLOOKUP($C1434,'Variable Information'!$A$2:$E$480,5,FALSE)</f>
        <v>#N/A</v>
      </c>
      <c r="B1434" s="36" t="e">
        <f>VLOOKUP($C1434,'Variable Information'!$A$1:$C$480,3,FALSE)</f>
        <v>#N/A</v>
      </c>
      <c r="C1434" s="35"/>
      <c r="D1434" s="30" t="s">
        <v>1449</v>
      </c>
      <c r="E1434" s="15" t="s">
        <v>1666</v>
      </c>
    </row>
    <row r="1435" spans="1:5" x14ac:dyDescent="0.25">
      <c r="A1435" s="36" t="e">
        <f>VLOOKUP($C1435,'Variable Information'!$A$2:$E$480,5,FALSE)</f>
        <v>#N/A</v>
      </c>
      <c r="B1435" s="36" t="e">
        <f>VLOOKUP($C1435,'Variable Information'!$A$1:$C$480,3,FALSE)</f>
        <v>#N/A</v>
      </c>
      <c r="C1435" s="35"/>
      <c r="D1435" s="30" t="s">
        <v>1451</v>
      </c>
      <c r="E1435" s="15" t="s">
        <v>1667</v>
      </c>
    </row>
    <row r="1436" spans="1:5" x14ac:dyDescent="0.25">
      <c r="A1436" s="36" t="e">
        <f>VLOOKUP($C1436,'Variable Information'!$A$2:$E$480,5,FALSE)</f>
        <v>#N/A</v>
      </c>
      <c r="B1436" s="36" t="e">
        <f>VLOOKUP($C1436,'Variable Information'!$A$1:$C$480,3,FALSE)</f>
        <v>#N/A</v>
      </c>
      <c r="C1436" s="35"/>
      <c r="D1436" s="30" t="s">
        <v>1456</v>
      </c>
      <c r="E1436" s="15" t="s">
        <v>1668</v>
      </c>
    </row>
    <row r="1437" spans="1:5" x14ac:dyDescent="0.25">
      <c r="A1437" s="36" t="e">
        <f>VLOOKUP($C1437,'Variable Information'!$A$2:$E$480,5,FALSE)</f>
        <v>#N/A</v>
      </c>
      <c r="B1437" s="36" t="e">
        <f>VLOOKUP($C1437,'Variable Information'!$A$1:$C$480,3,FALSE)</f>
        <v>#N/A</v>
      </c>
      <c r="C1437" s="35"/>
      <c r="D1437" s="30" t="s">
        <v>1458</v>
      </c>
      <c r="E1437" s="15" t="s">
        <v>1669</v>
      </c>
    </row>
    <row r="1438" spans="1:5" x14ac:dyDescent="0.25">
      <c r="A1438" s="36" t="e">
        <f>VLOOKUP($C1438,'Variable Information'!$A$2:$E$480,5,FALSE)</f>
        <v>#N/A</v>
      </c>
      <c r="B1438" s="36" t="e">
        <f>VLOOKUP($C1438,'Variable Information'!$A$1:$C$480,3,FALSE)</f>
        <v>#N/A</v>
      </c>
      <c r="C1438" s="35"/>
      <c r="D1438" s="30" t="s">
        <v>1460</v>
      </c>
      <c r="E1438" s="15" t="s">
        <v>1663</v>
      </c>
    </row>
    <row r="1439" spans="1:5" x14ac:dyDescent="0.25">
      <c r="A1439" s="36" t="str">
        <f>VLOOKUP($C1439,'Variable Information'!$A$2:$E$480,5,FALSE)</f>
        <v>AJD_noadvice_reason_1</v>
      </c>
      <c r="B1439" s="36" t="str">
        <f>VLOOKUP($C1439,'Variable Information'!$A$1:$C$480,3,FALSE)</f>
        <v>Q25_3. What was the reason you didn't obtain assistance from an organisation or professional to help you better understand the issue? - There was no real disagreement or problem</v>
      </c>
      <c r="C1439" s="35" t="s">
        <v>700</v>
      </c>
      <c r="D1439" s="30" t="s">
        <v>1664</v>
      </c>
      <c r="E1439" s="15" t="s">
        <v>1558</v>
      </c>
    </row>
    <row r="1440" spans="1:5" x14ac:dyDescent="0.25">
      <c r="A1440" s="36" t="e">
        <f>VLOOKUP($C1440,'Variable Information'!$A$2:$E$480,5,FALSE)</f>
        <v>#N/A</v>
      </c>
      <c r="B1440" s="36" t="e">
        <f>VLOOKUP($C1440,'Variable Information'!$A$1:$C$480,3,FALSE)</f>
        <v>#N/A</v>
      </c>
      <c r="C1440" s="35"/>
      <c r="D1440" s="30" t="s">
        <v>1447</v>
      </c>
      <c r="E1440" s="15" t="s">
        <v>1557</v>
      </c>
    </row>
    <row r="1441" spans="1:5" x14ac:dyDescent="0.25">
      <c r="A1441" s="36" t="str">
        <f>VLOOKUP($C1441,'Variable Information'!$A$2:$E$480,5,FALSE)</f>
        <v>AJD_noadvice_reason_2</v>
      </c>
      <c r="B1441" s="36" t="str">
        <f>VLOOKUP($C1441,'Variable Information'!$A$1:$C$480,3,FALSE)</f>
        <v>Q25_3. What was the reason you didn't obtain assistance from an organisation or professional to help you better understand the issue? - I felt the other person or organisation was in the right</v>
      </c>
      <c r="C1441" s="35" t="s">
        <v>703</v>
      </c>
      <c r="D1441" s="30" t="s">
        <v>1664</v>
      </c>
      <c r="E1441" s="15" t="s">
        <v>1558</v>
      </c>
    </row>
    <row r="1442" spans="1:5" x14ac:dyDescent="0.25">
      <c r="A1442" s="36" t="e">
        <f>VLOOKUP($C1442,'Variable Information'!$A$2:$E$480,5,FALSE)</f>
        <v>#N/A</v>
      </c>
      <c r="B1442" s="36" t="e">
        <f>VLOOKUP($C1442,'Variable Information'!$A$1:$C$480,3,FALSE)</f>
        <v>#N/A</v>
      </c>
      <c r="C1442" s="35"/>
      <c r="D1442" s="30" t="s">
        <v>1447</v>
      </c>
      <c r="E1442" s="15" t="s">
        <v>1557</v>
      </c>
    </row>
    <row r="1443" spans="1:5" x14ac:dyDescent="0.25">
      <c r="A1443" s="36" t="str">
        <f>VLOOKUP($C1443,'Variable Information'!$A$2:$E$480,5,FALSE)</f>
        <v>AJD_noadvice_reason_3</v>
      </c>
      <c r="B1443" s="36" t="str">
        <f>VLOOKUP($C1443,'Variable Information'!$A$1:$C$480,3,FALSE)</f>
        <v>Q25_3. What was the reason you didn't obtain assistance from an organisation or professional to help you better understand the issue? - The issue resolved itself without needing help</v>
      </c>
      <c r="C1443" s="35" t="s">
        <v>706</v>
      </c>
      <c r="D1443" s="30" t="s">
        <v>1664</v>
      </c>
      <c r="E1443" s="15" t="s">
        <v>1558</v>
      </c>
    </row>
    <row r="1444" spans="1:5" x14ac:dyDescent="0.25">
      <c r="A1444" s="36" t="e">
        <f>VLOOKUP($C1444,'Variable Information'!$A$2:$E$480,5,FALSE)</f>
        <v>#N/A</v>
      </c>
      <c r="B1444" s="36" t="e">
        <f>VLOOKUP($C1444,'Variable Information'!$A$1:$C$480,3,FALSE)</f>
        <v>#N/A</v>
      </c>
      <c r="C1444" s="35"/>
      <c r="D1444" s="30" t="s">
        <v>1447</v>
      </c>
      <c r="E1444" s="15" t="s">
        <v>1557</v>
      </c>
    </row>
    <row r="1445" spans="1:5" x14ac:dyDescent="0.25">
      <c r="A1445" s="36" t="str">
        <f>VLOOKUP($C1445,'Variable Information'!$A$2:$E$480,5,FALSE)</f>
        <v>AJD_noadvice_reason_4</v>
      </c>
      <c r="B1445" s="36" t="str">
        <f>VLOOKUP($C1445,'Variable Information'!$A$1:$C$480,3,FALSE)</f>
        <v>Q25_3. What was the reason you didn't obtain assistance from an organisation or professional to help you better understand the issue? - I got all the help I needed from other organisations/people</v>
      </c>
      <c r="C1445" s="35" t="s">
        <v>709</v>
      </c>
      <c r="D1445" s="30" t="s">
        <v>1664</v>
      </c>
      <c r="E1445" s="15" t="s">
        <v>1558</v>
      </c>
    </row>
    <row r="1446" spans="1:5" x14ac:dyDescent="0.25">
      <c r="A1446" s="36" t="e">
        <f>VLOOKUP($C1446,'Variable Information'!$A$2:$E$480,5,FALSE)</f>
        <v>#N/A</v>
      </c>
      <c r="B1446" s="36" t="e">
        <f>VLOOKUP($C1446,'Variable Information'!$A$1:$C$480,3,FALSE)</f>
        <v>#N/A</v>
      </c>
      <c r="C1446" s="35"/>
      <c r="D1446" s="30" t="s">
        <v>1447</v>
      </c>
      <c r="E1446" s="15" t="s">
        <v>1557</v>
      </c>
    </row>
    <row r="1447" spans="1:5" x14ac:dyDescent="0.25">
      <c r="A1447" s="36" t="str">
        <f>VLOOKUP($C1447,'Variable Information'!$A$2:$E$480,5,FALSE)</f>
        <v>AJD_noadvice_reason_5</v>
      </c>
      <c r="B1447" s="36" t="str">
        <f>VLOOKUP($C1447,'Variable Information'!$A$1:$C$480,3,FALSE)</f>
        <v>Q25_3. What was the reason you didn't obtain assistance from an organisation or professional to help you better understand the issue? - I didn't feel I needed help</v>
      </c>
      <c r="C1447" s="35" t="s">
        <v>712</v>
      </c>
      <c r="D1447" s="30" t="s">
        <v>1664</v>
      </c>
      <c r="E1447" s="15" t="s">
        <v>1558</v>
      </c>
    </row>
    <row r="1448" spans="1:5" x14ac:dyDescent="0.25">
      <c r="A1448" s="36" t="e">
        <f>VLOOKUP($C1448,'Variable Information'!$A$2:$E$480,5,FALSE)</f>
        <v>#N/A</v>
      </c>
      <c r="B1448" s="36" t="e">
        <f>VLOOKUP($C1448,'Variable Information'!$A$1:$C$480,3,FALSE)</f>
        <v>#N/A</v>
      </c>
      <c r="C1448" s="35"/>
      <c r="D1448" s="30" t="s">
        <v>1447</v>
      </c>
      <c r="E1448" s="15" t="s">
        <v>1557</v>
      </c>
    </row>
    <row r="1449" spans="1:5" x14ac:dyDescent="0.25">
      <c r="A1449" s="36" t="str">
        <f>VLOOKUP($C1449,'Variable Information'!$A$2:$E$480,5,FALSE)</f>
        <v>AJD_noadvice_reason_6</v>
      </c>
      <c r="B1449" s="36" t="str">
        <f>VLOOKUP($C1449,'Variable Information'!$A$1:$C$480,3,FALSE)</f>
        <v>Q25_3. What was the reason you didn't obtain assistance from an organisation or professional to help you better understand the issue? - I didn't think the issue was serious enough</v>
      </c>
      <c r="C1449" s="35" t="s">
        <v>715</v>
      </c>
      <c r="D1449" s="30" t="s">
        <v>1664</v>
      </c>
      <c r="E1449" s="15" t="s">
        <v>1558</v>
      </c>
    </row>
    <row r="1450" spans="1:5" x14ac:dyDescent="0.25">
      <c r="A1450" s="36" t="e">
        <f>VLOOKUP($C1450,'Variable Information'!$A$2:$E$480,5,FALSE)</f>
        <v>#N/A</v>
      </c>
      <c r="B1450" s="36" t="e">
        <f>VLOOKUP($C1450,'Variable Information'!$A$1:$C$480,3,FALSE)</f>
        <v>#N/A</v>
      </c>
      <c r="C1450" s="35"/>
      <c r="D1450" s="30" t="s">
        <v>1447</v>
      </c>
      <c r="E1450" s="15" t="s">
        <v>1557</v>
      </c>
    </row>
    <row r="1451" spans="1:5" x14ac:dyDescent="0.25">
      <c r="A1451" s="36" t="str">
        <f>VLOOKUP($C1451,'Variable Information'!$A$2:$E$480,5,FALSE)</f>
        <v>AJD_noadvice_reason_7</v>
      </c>
      <c r="B1451" s="36" t="str">
        <f>VLOOKUP($C1451,'Variable Information'!$A$1:$C$480,3,FALSE)</f>
        <v>Q25_3. What was the reason you didn't obtain assistance from an organisation or professional to help you better understand the issue? - I was concerned about how much time it would take</v>
      </c>
      <c r="C1451" s="35" t="s">
        <v>718</v>
      </c>
      <c r="D1451" s="30" t="s">
        <v>1664</v>
      </c>
      <c r="E1451" s="15" t="s">
        <v>1558</v>
      </c>
    </row>
    <row r="1452" spans="1:5" x14ac:dyDescent="0.25">
      <c r="A1452" s="36" t="e">
        <f>VLOOKUP($C1452,'Variable Information'!$A$2:$E$480,5,FALSE)</f>
        <v>#N/A</v>
      </c>
      <c r="B1452" s="36" t="e">
        <f>VLOOKUP($C1452,'Variable Information'!$A$1:$C$480,3,FALSE)</f>
        <v>#N/A</v>
      </c>
      <c r="C1452" s="35"/>
      <c r="D1452" s="30" t="s">
        <v>1447</v>
      </c>
      <c r="E1452" s="15" t="s">
        <v>1557</v>
      </c>
    </row>
    <row r="1453" spans="1:5" x14ac:dyDescent="0.25">
      <c r="A1453" s="36" t="str">
        <f>VLOOKUP($C1453,'Variable Information'!$A$2:$E$480,5,FALSE)</f>
        <v>AJD_noadvice_reason_8</v>
      </c>
      <c r="B1453" s="36" t="str">
        <f>VLOOKUP($C1453,'Variable Information'!$A$1:$C$480,3,FALSE)</f>
        <v>Q25_3. What was the reason you didn't obtain assistance from an organisation or professional to help you better understand the issue? - I was concerned about how much it would cost</v>
      </c>
      <c r="C1453" s="35" t="s">
        <v>721</v>
      </c>
      <c r="D1453" s="30" t="s">
        <v>1664</v>
      </c>
      <c r="E1453" s="15" t="s">
        <v>1558</v>
      </c>
    </row>
    <row r="1454" spans="1:5" x14ac:dyDescent="0.25">
      <c r="A1454" s="36" t="e">
        <f>VLOOKUP($C1454,'Variable Information'!$A$2:$E$480,5,FALSE)</f>
        <v>#N/A</v>
      </c>
      <c r="B1454" s="36" t="e">
        <f>VLOOKUP($C1454,'Variable Information'!$A$1:$C$480,3,FALSE)</f>
        <v>#N/A</v>
      </c>
      <c r="C1454" s="35"/>
      <c r="D1454" s="30" t="s">
        <v>1447</v>
      </c>
      <c r="E1454" s="15" t="s">
        <v>1557</v>
      </c>
    </row>
    <row r="1455" spans="1:5" x14ac:dyDescent="0.25">
      <c r="A1455" s="36" t="str">
        <f>VLOOKUP($C1455,'Variable Information'!$A$2:$E$480,5,FALSE)</f>
        <v>AJD_noadvice_reason_9</v>
      </c>
      <c r="B1455" s="36" t="str">
        <f>VLOOKUP($C1455,'Variable Information'!$A$1:$C$480,3,FALSE)</f>
        <v>Q25_3. What was the reason you didn't obtain assistance from an organisation or professional to help you better understand the issue? - It was difficult to find someone nearby who could help me</v>
      </c>
      <c r="C1455" s="35" t="s">
        <v>724</v>
      </c>
      <c r="D1455" s="30" t="s">
        <v>1664</v>
      </c>
      <c r="E1455" s="15" t="s">
        <v>1558</v>
      </c>
    </row>
    <row r="1456" spans="1:5" x14ac:dyDescent="0.25">
      <c r="A1456" s="36" t="e">
        <f>VLOOKUP($C1456,'Variable Information'!$A$2:$E$480,5,FALSE)</f>
        <v>#N/A</v>
      </c>
      <c r="B1456" s="36" t="e">
        <f>VLOOKUP($C1456,'Variable Information'!$A$1:$C$480,3,FALSE)</f>
        <v>#N/A</v>
      </c>
      <c r="C1456" s="35"/>
      <c r="D1456" s="30" t="s">
        <v>1447</v>
      </c>
      <c r="E1456" s="15" t="s">
        <v>1557</v>
      </c>
    </row>
    <row r="1457" spans="1:5" x14ac:dyDescent="0.25">
      <c r="A1457" s="36" t="str">
        <f>VLOOKUP($C1457,'Variable Information'!$A$2:$E$480,5,FALSE)</f>
        <v>AJD_noadvice_reason_10</v>
      </c>
      <c r="B1457" s="36" t="str">
        <f>VLOOKUP($C1457,'Variable Information'!$A$1:$C$480,3,FALSE)</f>
        <v>Q25_3. What was the reason you didn't obtain assistance from an organisation or professional to help you better understand the issue? - I thought it would be too stressful</v>
      </c>
      <c r="C1457" s="35" t="s">
        <v>727</v>
      </c>
      <c r="D1457" s="30" t="s">
        <v>1664</v>
      </c>
      <c r="E1457" s="15" t="s">
        <v>1558</v>
      </c>
    </row>
    <row r="1458" spans="1:5" x14ac:dyDescent="0.25">
      <c r="A1458" s="36" t="e">
        <f>VLOOKUP($C1458,'Variable Information'!$A$2:$E$480,5,FALSE)</f>
        <v>#N/A</v>
      </c>
      <c r="B1458" s="36" t="e">
        <f>VLOOKUP($C1458,'Variable Information'!$A$1:$C$480,3,FALSE)</f>
        <v>#N/A</v>
      </c>
      <c r="C1458" s="35"/>
      <c r="D1458" s="30" t="s">
        <v>1447</v>
      </c>
      <c r="E1458" s="15" t="s">
        <v>1557</v>
      </c>
    </row>
    <row r="1459" spans="1:5" x14ac:dyDescent="0.25">
      <c r="A1459" s="36" t="str">
        <f>VLOOKUP($C1459,'Variable Information'!$A$2:$E$480,5,FALSE)</f>
        <v>AJD_noadvice_reason_11</v>
      </c>
      <c r="B1459" s="36" t="str">
        <f>VLOOKUP($C1459,'Variable Information'!$A$1:$C$480,3,FALSE)</f>
        <v>Q25_3. What was the reason you didn't obtain assistance from an organisation or professional to help you better understand the issue? - I was afraid it would damage my relationship with the other person or organisation</v>
      </c>
      <c r="C1459" s="35" t="s">
        <v>730</v>
      </c>
      <c r="D1459" s="30" t="s">
        <v>1664</v>
      </c>
      <c r="E1459" s="15" t="s">
        <v>1558</v>
      </c>
    </row>
    <row r="1460" spans="1:5" x14ac:dyDescent="0.25">
      <c r="A1460" s="36" t="e">
        <f>VLOOKUP($C1460,'Variable Information'!$A$2:$E$480,5,FALSE)</f>
        <v>#N/A</v>
      </c>
      <c r="B1460" s="36" t="e">
        <f>VLOOKUP($C1460,'Variable Information'!$A$1:$C$480,3,FALSE)</f>
        <v>#N/A</v>
      </c>
      <c r="C1460" s="35"/>
      <c r="D1460" s="30" t="s">
        <v>1447</v>
      </c>
      <c r="E1460" s="15" t="s">
        <v>1557</v>
      </c>
    </row>
    <row r="1461" spans="1:5" x14ac:dyDescent="0.25">
      <c r="A1461" s="36" t="str">
        <f>VLOOKUP($C1461,'Variable Information'!$A$2:$E$480,5,FALSE)</f>
        <v>AJD_noadvice_reason_12</v>
      </c>
      <c r="B1461" s="36" t="str">
        <f>VLOOKUP($C1461,'Variable Information'!$A$1:$C$480,3,FALSE)</f>
        <v>Q25_3. What was the reason you didn't obtain assistance from an organisation or professional to help you better understand the issue? - I was scared to take action or ask for help</v>
      </c>
      <c r="C1461" s="35" t="s">
        <v>733</v>
      </c>
      <c r="D1461" s="30" t="s">
        <v>1664</v>
      </c>
      <c r="E1461" s="15" t="s">
        <v>1558</v>
      </c>
    </row>
    <row r="1462" spans="1:5" x14ac:dyDescent="0.25">
      <c r="A1462" s="36" t="e">
        <f>VLOOKUP($C1462,'Variable Information'!$A$2:$E$480,5,FALSE)</f>
        <v>#N/A</v>
      </c>
      <c r="B1462" s="36" t="e">
        <f>VLOOKUP($C1462,'Variable Information'!$A$1:$C$480,3,FALSE)</f>
        <v>#N/A</v>
      </c>
      <c r="C1462" s="35"/>
      <c r="D1462" s="30" t="s">
        <v>1447</v>
      </c>
      <c r="E1462" s="15" t="s">
        <v>1557</v>
      </c>
    </row>
    <row r="1463" spans="1:5" x14ac:dyDescent="0.25">
      <c r="A1463" s="36" t="str">
        <f>VLOOKUP($C1463,'Variable Information'!$A$2:$E$480,5,FALSE)</f>
        <v>AJD_noadvice_reason_13</v>
      </c>
      <c r="B1463" s="36" t="str">
        <f>VLOOKUP($C1463,'Variable Information'!$A$1:$C$480,3,FALSE)</f>
        <v>Q25_3. What was the reason you didn't obtain assistance from an organisation or professional to help you better understand the issue? - I didn't know where or how to find information or advice</v>
      </c>
      <c r="C1463" s="35" t="s">
        <v>736</v>
      </c>
      <c r="D1463" s="30" t="s">
        <v>1664</v>
      </c>
      <c r="E1463" s="15" t="s">
        <v>1558</v>
      </c>
    </row>
    <row r="1464" spans="1:5" x14ac:dyDescent="0.25">
      <c r="A1464" s="36" t="e">
        <f>VLOOKUP($C1464,'Variable Information'!$A$2:$E$480,5,FALSE)</f>
        <v>#N/A</v>
      </c>
      <c r="B1464" s="36" t="e">
        <f>VLOOKUP($C1464,'Variable Information'!$A$1:$C$480,3,FALSE)</f>
        <v>#N/A</v>
      </c>
      <c r="C1464" s="35"/>
      <c r="D1464" s="30" t="s">
        <v>1447</v>
      </c>
      <c r="E1464" s="15" t="s">
        <v>1557</v>
      </c>
    </row>
    <row r="1465" spans="1:5" x14ac:dyDescent="0.25">
      <c r="A1465" s="36" t="str">
        <f>VLOOKUP($C1465,'Variable Information'!$A$2:$E$480,5,FALSE)</f>
        <v>AJD_noadvice_reason_14</v>
      </c>
      <c r="B1465" s="36" t="str">
        <f>VLOOKUP($C1465,'Variable Information'!$A$1:$C$480,3,FALSE)</f>
        <v>Q25_3. What was the reason you didn't obtain assistance from an organisation or professional to help you better understand the issue? - I didn't think it would change the outcome</v>
      </c>
      <c r="C1465" s="35" t="s">
        <v>739</v>
      </c>
      <c r="D1465" s="30" t="s">
        <v>1664</v>
      </c>
      <c r="E1465" s="15" t="s">
        <v>1558</v>
      </c>
    </row>
    <row r="1466" spans="1:5" x14ac:dyDescent="0.25">
      <c r="A1466" s="36" t="e">
        <f>VLOOKUP($C1466,'Variable Information'!$A$2:$E$480,5,FALSE)</f>
        <v>#N/A</v>
      </c>
      <c r="B1466" s="36" t="e">
        <f>VLOOKUP($C1466,'Variable Information'!$A$1:$C$480,3,FALSE)</f>
        <v>#N/A</v>
      </c>
      <c r="C1466" s="35"/>
      <c r="D1466" s="30" t="s">
        <v>1447</v>
      </c>
      <c r="E1466" s="15" t="s">
        <v>1557</v>
      </c>
    </row>
    <row r="1467" spans="1:5" x14ac:dyDescent="0.25">
      <c r="A1467" s="36" t="str">
        <f>VLOOKUP($C1467,'Variable Information'!$A$2:$E$480,5,FALSE)</f>
        <v>AJD_noadvice_reason_15</v>
      </c>
      <c r="B1467" s="36" t="str">
        <f>VLOOKUP($C1467,'Variable Information'!$A$1:$C$480,3,FALSE)</f>
        <v>Q25_3. What was the reason you didn't obtain assistance from an organisation or professional to help you better understand the issue? - I had tried seeking help before and it wasn't helpful</v>
      </c>
      <c r="C1467" s="35" t="s">
        <v>742</v>
      </c>
      <c r="D1467" s="30" t="s">
        <v>1664</v>
      </c>
      <c r="E1467" s="15" t="s">
        <v>1558</v>
      </c>
    </row>
    <row r="1468" spans="1:5" x14ac:dyDescent="0.25">
      <c r="A1468" s="36" t="e">
        <f>VLOOKUP($C1468,'Variable Information'!$A$2:$E$480,5,FALSE)</f>
        <v>#N/A</v>
      </c>
      <c r="B1468" s="36" t="e">
        <f>VLOOKUP($C1468,'Variable Information'!$A$1:$C$480,3,FALSE)</f>
        <v>#N/A</v>
      </c>
      <c r="C1468" s="35"/>
      <c r="D1468" s="30" t="s">
        <v>1447</v>
      </c>
      <c r="E1468" s="15" t="s">
        <v>1557</v>
      </c>
    </row>
    <row r="1469" spans="1:5" x14ac:dyDescent="0.25">
      <c r="A1469" s="36" t="str">
        <f>VLOOKUP($C1469,'Variable Information'!$A$2:$E$480,5,FALSE)</f>
        <v>AJD_noadvice_reason_16</v>
      </c>
      <c r="B1469" s="36" t="str">
        <f>VLOOKUP($C1469,'Variable Information'!$A$1:$C$480,3,FALSE)</f>
        <v>Q25_3. What was the reason you didn't obtain assistance from an organisation or professional to help you better understand the issue? - Someone told me not to get advice or information</v>
      </c>
      <c r="C1469" s="35" t="s">
        <v>745</v>
      </c>
      <c r="D1469" s="30" t="s">
        <v>1664</v>
      </c>
      <c r="E1469" s="15" t="s">
        <v>1558</v>
      </c>
    </row>
    <row r="1470" spans="1:5" x14ac:dyDescent="0.25">
      <c r="A1470" s="36" t="e">
        <f>VLOOKUP($C1470,'Variable Information'!$A$2:$E$480,5,FALSE)</f>
        <v>#N/A</v>
      </c>
      <c r="B1470" s="36" t="e">
        <f>VLOOKUP($C1470,'Variable Information'!$A$1:$C$480,3,FALSE)</f>
        <v>#N/A</v>
      </c>
      <c r="C1470" s="35"/>
      <c r="D1470" s="30" t="s">
        <v>1447</v>
      </c>
      <c r="E1470" s="15" t="s">
        <v>1557</v>
      </c>
    </row>
    <row r="1471" spans="1:5" x14ac:dyDescent="0.25">
      <c r="A1471" s="36" t="str">
        <f>VLOOKUP($C1471,'Variable Information'!$A$2:$E$480,5,FALSE)</f>
        <v>AJD_noadvice_reason_17</v>
      </c>
      <c r="B1471" s="36" t="str">
        <f>VLOOKUP($C1471,'Variable Information'!$A$1:$C$480,3,FALSE)</f>
        <v>Q25_3. What was the reason you didn't obtain assistance from an organisation or professional to help you better understand the issue? - Other reason, please specify:</v>
      </c>
      <c r="C1471" s="35" t="s">
        <v>748</v>
      </c>
      <c r="D1471" s="30" t="s">
        <v>1664</v>
      </c>
      <c r="E1471" s="15" t="s">
        <v>1558</v>
      </c>
    </row>
    <row r="1472" spans="1:5" x14ac:dyDescent="0.25">
      <c r="A1472" s="36" t="e">
        <f>VLOOKUP($C1472,'Variable Information'!$A$2:$E$480,5,FALSE)</f>
        <v>#N/A</v>
      </c>
      <c r="B1472" s="36" t="e">
        <f>VLOOKUP($C1472,'Variable Information'!$A$1:$C$480,3,FALSE)</f>
        <v>#N/A</v>
      </c>
      <c r="C1472" s="35"/>
      <c r="D1472" s="30" t="s">
        <v>1447</v>
      </c>
      <c r="E1472" s="15" t="s">
        <v>1557</v>
      </c>
    </row>
    <row r="1473" spans="1:5" x14ac:dyDescent="0.25">
      <c r="A1473" s="36" t="str">
        <f>VLOOKUP($C1473,'Variable Information'!$A$2:$E$480,5,FALSE)</f>
        <v>AJD_noadvice_reason_18</v>
      </c>
      <c r="B1473" s="36" t="str">
        <f>VLOOKUP($C1473,'Variable Information'!$A$1:$C$480,3,FALSE)</f>
        <v>Q25_3. What was the reason you didn't obtain assistance from an organisation or professional to help you better understand the issue? - Don't know</v>
      </c>
      <c r="C1473" s="35" t="s">
        <v>751</v>
      </c>
      <c r="D1473" s="30" t="s">
        <v>1664</v>
      </c>
      <c r="E1473" s="15" t="s">
        <v>1558</v>
      </c>
    </row>
    <row r="1474" spans="1:5" x14ac:dyDescent="0.25">
      <c r="A1474" s="36" t="e">
        <f>VLOOKUP($C1474,'Variable Information'!$A$2:$E$480,5,FALSE)</f>
        <v>#N/A</v>
      </c>
      <c r="B1474" s="36" t="e">
        <f>VLOOKUP($C1474,'Variable Information'!$A$1:$C$480,3,FALSE)</f>
        <v>#N/A</v>
      </c>
      <c r="C1474" s="35"/>
      <c r="D1474" s="30" t="s">
        <v>1447</v>
      </c>
      <c r="E1474" s="15" t="s">
        <v>1557</v>
      </c>
    </row>
    <row r="1475" spans="1:5" x14ac:dyDescent="0.25">
      <c r="A1475" s="36" t="str">
        <f>VLOOKUP($C1475,'Variable Information'!$A$2:$E$480,5,FALSE)</f>
        <v>AJD_noadvice_reason_19</v>
      </c>
      <c r="B1475" s="36" t="str">
        <f>VLOOKUP($C1475,'Variable Information'!$A$1:$C$480,3,FALSE)</f>
        <v>Q25_3. What was the reason you didn't obtain assistance from an organisation or professional to help you better understand the issue? - Prefer not to say</v>
      </c>
      <c r="C1475" s="35" t="s">
        <v>754</v>
      </c>
      <c r="D1475" s="30" t="s">
        <v>1664</v>
      </c>
      <c r="E1475" s="15" t="s">
        <v>1558</v>
      </c>
    </row>
    <row r="1476" spans="1:5" x14ac:dyDescent="0.25">
      <c r="A1476" s="36" t="e">
        <f>VLOOKUP($C1476,'Variable Information'!$A$2:$E$480,5,FALSE)</f>
        <v>#N/A</v>
      </c>
      <c r="B1476" s="36" t="e">
        <f>VLOOKUP($C1476,'Variable Information'!$A$1:$C$480,3,FALSE)</f>
        <v>#N/A</v>
      </c>
      <c r="C1476" s="35"/>
      <c r="D1476" s="30" t="s">
        <v>1447</v>
      </c>
      <c r="E1476" s="15" t="s">
        <v>1557</v>
      </c>
    </row>
    <row r="1477" spans="1:5" x14ac:dyDescent="0.25">
      <c r="A1477" s="36" t="str">
        <f>VLOOKUP($C1477,'Variable Information'!$A$2:$E$480,5,FALSE)</f>
        <v>AJR_action</v>
      </c>
      <c r="B1477" s="36" t="str">
        <f>VLOOKUP($C1477,'Variable Information'!$A$1:$C$480,3,FALSE)</f>
        <v>Q25_5. Just to check, have you done / did you do anything, or do you expect to do anything to resolve or end this issue, such as talking to the other party?</v>
      </c>
      <c r="C1477" s="35" t="s">
        <v>757</v>
      </c>
      <c r="D1477" s="30" t="s">
        <v>1447</v>
      </c>
      <c r="E1477" s="15" t="s">
        <v>1670</v>
      </c>
    </row>
    <row r="1478" spans="1:5" x14ac:dyDescent="0.25">
      <c r="A1478" s="36" t="e">
        <f>VLOOKUP($C1478,'Variable Information'!$A$2:$E$480,5,FALSE)</f>
        <v>#N/A</v>
      </c>
      <c r="B1478" s="36" t="e">
        <f>VLOOKUP($C1478,'Variable Information'!$A$1:$C$480,3,FALSE)</f>
        <v>#N/A</v>
      </c>
      <c r="C1478" s="35"/>
      <c r="D1478" s="30" t="s">
        <v>1449</v>
      </c>
      <c r="E1478" s="15" t="s">
        <v>1671</v>
      </c>
    </row>
    <row r="1479" spans="1:5" x14ac:dyDescent="0.25">
      <c r="A1479" s="36" t="e">
        <f>VLOOKUP($C1479,'Variable Information'!$A$2:$E$480,5,FALSE)</f>
        <v>#N/A</v>
      </c>
      <c r="B1479" s="36" t="e">
        <f>VLOOKUP($C1479,'Variable Information'!$A$1:$C$480,3,FALSE)</f>
        <v>#N/A</v>
      </c>
      <c r="C1479" s="35"/>
      <c r="D1479" s="30" t="s">
        <v>1451</v>
      </c>
      <c r="E1479" s="15" t="s">
        <v>1672</v>
      </c>
    </row>
    <row r="1480" spans="1:5" x14ac:dyDescent="0.25">
      <c r="A1480" s="36" t="e">
        <f>VLOOKUP($C1480,'Variable Information'!$A$2:$E$480,5,FALSE)</f>
        <v>#N/A</v>
      </c>
      <c r="B1480" s="36" t="e">
        <f>VLOOKUP($C1480,'Variable Information'!$A$1:$C$480,3,FALSE)</f>
        <v>#N/A</v>
      </c>
      <c r="C1480" s="35"/>
      <c r="D1480" s="30" t="s">
        <v>1456</v>
      </c>
      <c r="E1480" s="15" t="s">
        <v>1673</v>
      </c>
    </row>
    <row r="1481" spans="1:5" x14ac:dyDescent="0.25">
      <c r="A1481" s="36" t="str">
        <f>VLOOKUP($C1481,'Variable Information'!$A$2:$E$480,5,FALSE)</f>
        <v>AJR_noaction_1</v>
      </c>
      <c r="B1481" s="36" t="str">
        <f>VLOOKUP($C1481,'Variable Information'!$A$1:$C$480,3,FALSE)</f>
        <v>Q25_6. For which of the following reasons, if any, haven't you done / didn't you do anything to try to resolve the issue? - It wasn't very important</v>
      </c>
      <c r="C1481" s="35" t="s">
        <v>760</v>
      </c>
      <c r="D1481" s="30" t="s">
        <v>1664</v>
      </c>
      <c r="E1481" s="15" t="s">
        <v>1558</v>
      </c>
    </row>
    <row r="1482" spans="1:5" x14ac:dyDescent="0.25">
      <c r="A1482" s="36" t="e">
        <f>VLOOKUP($C1482,'Variable Information'!$A$2:$E$480,5,FALSE)</f>
        <v>#N/A</v>
      </c>
      <c r="B1482" s="36" t="e">
        <f>VLOOKUP($C1482,'Variable Information'!$A$1:$C$480,3,FALSE)</f>
        <v>#N/A</v>
      </c>
      <c r="C1482" s="35"/>
      <c r="D1482" s="30" t="s">
        <v>1447</v>
      </c>
      <c r="E1482" s="15" t="s">
        <v>1557</v>
      </c>
    </row>
    <row r="1483" spans="1:5" x14ac:dyDescent="0.25">
      <c r="A1483" s="36" t="str">
        <f>VLOOKUP($C1483,'Variable Information'!$A$2:$E$480,5,FALSE)</f>
        <v>AJR_noaction_2</v>
      </c>
      <c r="B1483" s="36" t="str">
        <f>VLOOKUP($C1483,'Variable Information'!$A$1:$C$480,3,FALSE)</f>
        <v>Q25_6. For which of the following reasons, if any, haven't you done / didn't you do anything to try to resolve the issue? - It was resolved quickly</v>
      </c>
      <c r="C1483" s="35" t="s">
        <v>764</v>
      </c>
      <c r="D1483" s="30" t="s">
        <v>1664</v>
      </c>
      <c r="E1483" s="15" t="s">
        <v>1558</v>
      </c>
    </row>
    <row r="1484" spans="1:5" x14ac:dyDescent="0.25">
      <c r="A1484" s="36" t="e">
        <f>VLOOKUP($C1484,'Variable Information'!$A$2:$E$480,5,FALSE)</f>
        <v>#N/A</v>
      </c>
      <c r="B1484" s="36" t="e">
        <f>VLOOKUP($C1484,'Variable Information'!$A$1:$C$480,3,FALSE)</f>
        <v>#N/A</v>
      </c>
      <c r="C1484" s="35"/>
      <c r="D1484" s="30" t="s">
        <v>1447</v>
      </c>
      <c r="E1484" s="15" t="s">
        <v>1557</v>
      </c>
    </row>
    <row r="1485" spans="1:5" x14ac:dyDescent="0.25">
      <c r="A1485" s="36" t="str">
        <f>VLOOKUP($C1485,'Variable Information'!$A$2:$E$480,5,FALSE)</f>
        <v>AJR_noaction_3</v>
      </c>
      <c r="B1485" s="36" t="str">
        <f>VLOOKUP($C1485,'Variable Information'!$A$1:$C$480,3,FALSE)</f>
        <v>Q25_6. For which of the following reasons, if any, haven't you done / didn't you do anything to try to resolve the issue? - It would take too long</v>
      </c>
      <c r="C1485" s="35" t="s">
        <v>767</v>
      </c>
      <c r="D1485" s="30" t="s">
        <v>1664</v>
      </c>
      <c r="E1485" s="15" t="s">
        <v>1558</v>
      </c>
    </row>
    <row r="1486" spans="1:5" x14ac:dyDescent="0.25">
      <c r="A1486" s="36" t="e">
        <f>VLOOKUP($C1486,'Variable Information'!$A$2:$E$480,5,FALSE)</f>
        <v>#N/A</v>
      </c>
      <c r="B1486" s="36" t="e">
        <f>VLOOKUP($C1486,'Variable Information'!$A$1:$C$480,3,FALSE)</f>
        <v>#N/A</v>
      </c>
      <c r="C1486" s="35"/>
      <c r="D1486" s="30" t="s">
        <v>1447</v>
      </c>
      <c r="E1486" s="15" t="s">
        <v>1557</v>
      </c>
    </row>
    <row r="1487" spans="1:5" x14ac:dyDescent="0.25">
      <c r="A1487" s="36" t="str">
        <f>VLOOKUP($C1487,'Variable Information'!$A$2:$E$480,5,FALSE)</f>
        <v>AJR_noaction_4</v>
      </c>
      <c r="B1487" s="36" t="str">
        <f>VLOOKUP($C1487,'Variable Information'!$A$1:$C$480,3,FALSE)</f>
        <v>Q25_6. For which of the following reasons, if any, haven't you done / didn't you do anything to try to resolve the issue? - It would be too stressful</v>
      </c>
      <c r="C1487" s="35" t="s">
        <v>770</v>
      </c>
      <c r="D1487" s="30" t="s">
        <v>1664</v>
      </c>
      <c r="E1487" s="15" t="s">
        <v>1558</v>
      </c>
    </row>
    <row r="1488" spans="1:5" x14ac:dyDescent="0.25">
      <c r="A1488" s="36" t="e">
        <f>VLOOKUP($C1488,'Variable Information'!$A$2:$E$480,5,FALSE)</f>
        <v>#N/A</v>
      </c>
      <c r="B1488" s="36" t="e">
        <f>VLOOKUP($C1488,'Variable Information'!$A$1:$C$480,3,FALSE)</f>
        <v>#N/A</v>
      </c>
      <c r="C1488" s="35"/>
      <c r="D1488" s="30" t="s">
        <v>1447</v>
      </c>
      <c r="E1488" s="15" t="s">
        <v>1557</v>
      </c>
    </row>
    <row r="1489" spans="1:5" x14ac:dyDescent="0.25">
      <c r="A1489" s="36" t="str">
        <f>VLOOKUP($C1489,'Variable Information'!$A$2:$E$480,5,FALSE)</f>
        <v>AJR_noaction_5</v>
      </c>
      <c r="B1489" s="36" t="str">
        <f>VLOOKUP($C1489,'Variable Information'!$A$1:$C$480,3,FALSE)</f>
        <v>Q25_6. For which of the following reasons, if any, haven't you done / didn't you do anything to try to resolve the issue? - It would cost too much</v>
      </c>
      <c r="C1489" s="35" t="s">
        <v>773</v>
      </c>
      <c r="D1489" s="30" t="s">
        <v>1664</v>
      </c>
      <c r="E1489" s="15" t="s">
        <v>1558</v>
      </c>
    </row>
    <row r="1490" spans="1:5" x14ac:dyDescent="0.25">
      <c r="A1490" s="36" t="e">
        <f>VLOOKUP($C1490,'Variable Information'!$A$2:$E$480,5,FALSE)</f>
        <v>#N/A</v>
      </c>
      <c r="B1490" s="36" t="e">
        <f>VLOOKUP($C1490,'Variable Information'!$A$1:$C$480,3,FALSE)</f>
        <v>#N/A</v>
      </c>
      <c r="C1490" s="35"/>
      <c r="D1490" s="30" t="s">
        <v>1447</v>
      </c>
      <c r="E1490" s="15" t="s">
        <v>1557</v>
      </c>
    </row>
    <row r="1491" spans="1:5" x14ac:dyDescent="0.25">
      <c r="A1491" s="36" t="str">
        <f>VLOOKUP($C1491,'Variable Information'!$A$2:$E$480,5,FALSE)</f>
        <v>AJR_noaction_6</v>
      </c>
      <c r="B1491" s="36" t="str">
        <f>VLOOKUP($C1491,'Variable Information'!$A$1:$C$480,3,FALSE)</f>
        <v>Q25_6. For which of the following reasons, if any, haven't you done / didn't you do anything to try to resolve the issue? - It would damage the relationship with the other side</v>
      </c>
      <c r="C1491" s="35" t="s">
        <v>776</v>
      </c>
      <c r="D1491" s="30" t="s">
        <v>1664</v>
      </c>
      <c r="E1491" s="15" t="s">
        <v>1558</v>
      </c>
    </row>
    <row r="1492" spans="1:5" x14ac:dyDescent="0.25">
      <c r="A1492" s="36" t="e">
        <f>VLOOKUP($C1492,'Variable Information'!$A$2:$E$480,5,FALSE)</f>
        <v>#N/A</v>
      </c>
      <c r="B1492" s="36" t="e">
        <f>VLOOKUP($C1492,'Variable Information'!$A$1:$C$480,3,FALSE)</f>
        <v>#N/A</v>
      </c>
      <c r="C1492" s="35"/>
      <c r="D1492" s="30" t="s">
        <v>1447</v>
      </c>
      <c r="E1492" s="15" t="s">
        <v>1557</v>
      </c>
    </row>
    <row r="1493" spans="1:5" x14ac:dyDescent="0.25">
      <c r="A1493" s="36" t="str">
        <f>VLOOKUP($C1493,'Variable Information'!$A$2:$E$480,5,FALSE)</f>
        <v>AJR_noaction_7</v>
      </c>
      <c r="B1493" s="36" t="str">
        <f>VLOOKUP($C1493,'Variable Information'!$A$1:$C$480,3,FALSE)</f>
        <v>Q25_6. For which of the following reasons, if any, haven't you done / didn't you do anything to try to resolve the issue? - It would make you uncomfortable/ you were too ashamed or embarrassed to ask for help</v>
      </c>
      <c r="C1493" s="35" t="s">
        <v>779</v>
      </c>
      <c r="D1493" s="30" t="s">
        <v>1664</v>
      </c>
      <c r="E1493" s="15" t="s">
        <v>1558</v>
      </c>
    </row>
    <row r="1494" spans="1:5" x14ac:dyDescent="0.25">
      <c r="A1494" s="36" t="e">
        <f>VLOOKUP($C1494,'Variable Information'!$A$2:$E$480,5,FALSE)</f>
        <v>#N/A</v>
      </c>
      <c r="B1494" s="36" t="e">
        <f>VLOOKUP($C1494,'Variable Information'!$A$1:$C$480,3,FALSE)</f>
        <v>#N/A</v>
      </c>
      <c r="C1494" s="35"/>
      <c r="D1494" s="30" t="s">
        <v>1447</v>
      </c>
      <c r="E1494" s="15" t="s">
        <v>1557</v>
      </c>
    </row>
    <row r="1495" spans="1:5" x14ac:dyDescent="0.25">
      <c r="A1495" s="36" t="str">
        <f>VLOOKUP($C1495,'Variable Information'!$A$2:$E$480,5,FALSE)</f>
        <v>AJR_noaction_8</v>
      </c>
      <c r="B1495" s="36" t="str">
        <f>VLOOKUP($C1495,'Variable Information'!$A$1:$C$480,3,FALSE)</f>
        <v>Q25_6. For which of the following reasons, if any, haven't you done / didn't you do anything to try to resolve the issue? - It would make no difference</v>
      </c>
      <c r="C1495" s="35" t="s">
        <v>782</v>
      </c>
      <c r="D1495" s="30" t="s">
        <v>1664</v>
      </c>
      <c r="E1495" s="15" t="s">
        <v>1558</v>
      </c>
    </row>
    <row r="1496" spans="1:5" x14ac:dyDescent="0.25">
      <c r="A1496" s="36" t="e">
        <f>VLOOKUP($C1496,'Variable Information'!$A$2:$E$480,5,FALSE)</f>
        <v>#N/A</v>
      </c>
      <c r="B1496" s="36" t="e">
        <f>VLOOKUP($C1496,'Variable Information'!$A$1:$C$480,3,FALSE)</f>
        <v>#N/A</v>
      </c>
      <c r="C1496" s="35"/>
      <c r="D1496" s="30" t="s">
        <v>1447</v>
      </c>
      <c r="E1496" s="15" t="s">
        <v>1557</v>
      </c>
    </row>
    <row r="1497" spans="1:5" x14ac:dyDescent="0.25">
      <c r="A1497" s="36" t="str">
        <f>VLOOKUP($C1497,'Variable Information'!$A$2:$E$480,5,FALSE)</f>
        <v>AJR_noaction_9</v>
      </c>
      <c r="B1497" s="36" t="str">
        <f>VLOOKUP($C1497,'Variable Information'!$A$1:$C$480,3,FALSE)</f>
        <v>Q25_6. For which of the following reasons, if any, haven't you done / didn't you do anything to try to resolve the issue? - You had bigger issues</v>
      </c>
      <c r="C1497" s="35" t="s">
        <v>785</v>
      </c>
      <c r="D1497" s="30" t="s">
        <v>1664</v>
      </c>
      <c r="E1497" s="15" t="s">
        <v>1558</v>
      </c>
    </row>
    <row r="1498" spans="1:5" x14ac:dyDescent="0.25">
      <c r="A1498" s="36" t="e">
        <f>VLOOKUP($C1498,'Variable Information'!$A$2:$E$480,5,FALSE)</f>
        <v>#N/A</v>
      </c>
      <c r="B1498" s="36" t="e">
        <f>VLOOKUP($C1498,'Variable Information'!$A$1:$C$480,3,FALSE)</f>
        <v>#N/A</v>
      </c>
      <c r="C1498" s="35"/>
      <c r="D1498" s="30" t="s">
        <v>1447</v>
      </c>
      <c r="E1498" s="15" t="s">
        <v>1557</v>
      </c>
    </row>
    <row r="1499" spans="1:5" x14ac:dyDescent="0.25">
      <c r="A1499" s="36" t="str">
        <f>VLOOKUP($C1499,'Variable Information'!$A$2:$E$480,5,FALSE)</f>
        <v>AJR_noaction_10</v>
      </c>
      <c r="B1499" s="36" t="str">
        <f>VLOOKUP($C1499,'Variable Information'!$A$1:$C$480,3,FALSE)</f>
        <v>Q25_6. For which of the following reasons, if any, haven't you done / didn't you do anything to try to resolve the issue? - You were at fault or there was no dispute</v>
      </c>
      <c r="C1499" s="35" t="s">
        <v>788</v>
      </c>
      <c r="D1499" s="30" t="s">
        <v>1664</v>
      </c>
      <c r="E1499" s="15" t="s">
        <v>1558</v>
      </c>
    </row>
    <row r="1500" spans="1:5" x14ac:dyDescent="0.25">
      <c r="A1500" s="36" t="e">
        <f>VLOOKUP($C1500,'Variable Information'!$A$2:$E$480,5,FALSE)</f>
        <v>#N/A</v>
      </c>
      <c r="B1500" s="36" t="e">
        <f>VLOOKUP($C1500,'Variable Information'!$A$1:$C$480,3,FALSE)</f>
        <v>#N/A</v>
      </c>
      <c r="C1500" s="35"/>
      <c r="D1500" s="30" t="s">
        <v>1447</v>
      </c>
      <c r="E1500" s="15" t="s">
        <v>1557</v>
      </c>
    </row>
    <row r="1501" spans="1:5" x14ac:dyDescent="0.25">
      <c r="A1501" s="36" t="str">
        <f>VLOOKUP($C1501,'Variable Information'!$A$2:$E$480,5,FALSE)</f>
        <v>AJR_noaction_11</v>
      </c>
      <c r="B1501" s="36" t="str">
        <f>VLOOKUP($C1501,'Variable Information'!$A$1:$C$480,3,FALSE)</f>
        <v>Q25_6. For which of the following reasons, if any, haven't you done / didn't you do anything to try to resolve the issue? - You didn't know what to do</v>
      </c>
      <c r="C1501" s="35" t="s">
        <v>791</v>
      </c>
      <c r="D1501" s="30" t="s">
        <v>1664</v>
      </c>
      <c r="E1501" s="15" t="s">
        <v>1558</v>
      </c>
    </row>
    <row r="1502" spans="1:5" x14ac:dyDescent="0.25">
      <c r="A1502" s="36" t="e">
        <f>VLOOKUP($C1502,'Variable Information'!$A$2:$E$480,5,FALSE)</f>
        <v>#N/A</v>
      </c>
      <c r="B1502" s="36" t="e">
        <f>VLOOKUP($C1502,'Variable Information'!$A$1:$C$480,3,FALSE)</f>
        <v>#N/A</v>
      </c>
      <c r="C1502" s="35"/>
      <c r="D1502" s="30" t="s">
        <v>1447</v>
      </c>
      <c r="E1502" s="15" t="s">
        <v>1557</v>
      </c>
    </row>
    <row r="1503" spans="1:5" x14ac:dyDescent="0.25">
      <c r="A1503" s="36" t="str">
        <f>VLOOKUP($C1503,'Variable Information'!$A$2:$E$480,5,FALSE)</f>
        <v>AJR_noaction_12</v>
      </c>
      <c r="B1503" s="36" t="str">
        <f>VLOOKUP($C1503,'Variable Information'!$A$1:$C$480,3,FALSE)</f>
        <v>Q25_6. For which of the following reasons, if any, haven't you done / didn't you do anything to try to resolve the issue? - You didn't need information or advice</v>
      </c>
      <c r="C1503" s="35" t="s">
        <v>794</v>
      </c>
      <c r="D1503" s="30" t="s">
        <v>1664</v>
      </c>
      <c r="E1503" s="15" t="s">
        <v>1558</v>
      </c>
    </row>
    <row r="1504" spans="1:5" x14ac:dyDescent="0.25">
      <c r="A1504" s="36" t="e">
        <f>VLOOKUP($C1504,'Variable Information'!$A$2:$E$480,5,FALSE)</f>
        <v>#N/A</v>
      </c>
      <c r="B1504" s="36" t="e">
        <f>VLOOKUP($C1504,'Variable Information'!$A$1:$C$480,3,FALSE)</f>
        <v>#N/A</v>
      </c>
      <c r="C1504" s="35"/>
      <c r="D1504" s="30" t="s">
        <v>1447</v>
      </c>
      <c r="E1504" s="15" t="s">
        <v>1557</v>
      </c>
    </row>
    <row r="1505" spans="1:5" x14ac:dyDescent="0.25">
      <c r="A1505" s="36" t="str">
        <f>VLOOKUP($C1505,'Variable Information'!$A$2:$E$480,5,FALSE)</f>
        <v>AJR_noaction_13</v>
      </c>
      <c r="B1505" s="36" t="str">
        <f>VLOOKUP($C1505,'Variable Information'!$A$1:$C$480,3,FALSE)</f>
        <v>Q25_6. For which of the following reasons, if any, haven't you done / didn't you do anything to try to resolve the issue? - Other reason (please specify)</v>
      </c>
      <c r="C1505" s="35" t="s">
        <v>797</v>
      </c>
      <c r="D1505" s="30" t="s">
        <v>1664</v>
      </c>
      <c r="E1505" s="15" t="s">
        <v>1558</v>
      </c>
    </row>
    <row r="1506" spans="1:5" x14ac:dyDescent="0.25">
      <c r="A1506" s="36" t="e">
        <f>VLOOKUP($C1506,'Variable Information'!$A$2:$E$480,5,FALSE)</f>
        <v>#N/A</v>
      </c>
      <c r="B1506" s="36" t="e">
        <f>VLOOKUP($C1506,'Variable Information'!$A$1:$C$480,3,FALSE)</f>
        <v>#N/A</v>
      </c>
      <c r="C1506" s="35"/>
      <c r="D1506" s="30" t="s">
        <v>1447</v>
      </c>
      <c r="E1506" s="15" t="s">
        <v>1557</v>
      </c>
    </row>
    <row r="1507" spans="1:5" x14ac:dyDescent="0.25">
      <c r="A1507" s="36" t="str">
        <f>VLOOKUP($C1507,'Variable Information'!$A$2:$E$480,5,FALSE)</f>
        <v>AJR_drm_1</v>
      </c>
      <c r="B1507" s="36" t="str">
        <f>VLOOKUP($C1507,'Variable Information'!$A$1:$C$480,3,FALSE)</f>
        <v>Q26. Issue resolved - A court (small claims court, District Circuit, High Court, Court of Appeal, Supreme Court, Europe etc)</v>
      </c>
      <c r="C1507" s="35" t="s">
        <v>800</v>
      </c>
      <c r="D1507" s="30" t="s">
        <v>1447</v>
      </c>
      <c r="E1507" s="15" t="s">
        <v>1557</v>
      </c>
    </row>
    <row r="1508" spans="1:5" x14ac:dyDescent="0.25">
      <c r="A1508" s="36" t="e">
        <f>VLOOKUP($C1508,'Variable Information'!$A$2:$E$480,5,FALSE)</f>
        <v>#N/A</v>
      </c>
      <c r="B1508" s="36" t="e">
        <f>VLOOKUP($C1508,'Variable Information'!$A$1:$C$480,3,FALSE)</f>
        <v>#N/A</v>
      </c>
      <c r="C1508" s="35"/>
      <c r="D1508" s="30" t="s">
        <v>1449</v>
      </c>
      <c r="E1508" s="15" t="s">
        <v>1558</v>
      </c>
    </row>
    <row r="1509" spans="1:5" x14ac:dyDescent="0.25">
      <c r="A1509" s="36" t="e">
        <f>VLOOKUP($C1509,'Variable Information'!$A$2:$E$480,5,FALSE)</f>
        <v>#N/A</v>
      </c>
      <c r="B1509" s="36" t="e">
        <f>VLOOKUP($C1509,'Variable Information'!$A$1:$C$480,3,FALSE)</f>
        <v>#N/A</v>
      </c>
      <c r="C1509" s="35"/>
      <c r="D1509" s="30" t="s">
        <v>1451</v>
      </c>
      <c r="E1509" s="15" t="s">
        <v>1663</v>
      </c>
    </row>
    <row r="1510" spans="1:5" x14ac:dyDescent="0.25">
      <c r="A1510" s="36" t="str">
        <f>VLOOKUP($C1510,'Variable Information'!$A$2:$E$480,5,FALSE)</f>
        <v>AJR_drm_2</v>
      </c>
      <c r="B1510" s="36" t="str">
        <f>VLOOKUP($C1510,'Variable Information'!$A$1:$C$480,3,FALSE)</f>
        <v>Q26. Issue resolved - A tribunal (e.g. international protection appeals tribunal - IPAT, Workplace Relations Commission, Social Welfare Appeals Office,</v>
      </c>
      <c r="C1510" s="35" t="s">
        <v>804</v>
      </c>
      <c r="D1510" s="30" t="s">
        <v>1447</v>
      </c>
      <c r="E1510" s="15" t="s">
        <v>1557</v>
      </c>
    </row>
    <row r="1511" spans="1:5" x14ac:dyDescent="0.25">
      <c r="A1511" s="36" t="e">
        <f>VLOOKUP($C1511,'Variable Information'!$A$2:$E$480,5,FALSE)</f>
        <v>#N/A</v>
      </c>
      <c r="B1511" s="36" t="e">
        <f>VLOOKUP($C1511,'Variable Information'!$A$1:$C$480,3,FALSE)</f>
        <v>#N/A</v>
      </c>
      <c r="C1511" s="35"/>
      <c r="D1511" s="30" t="s">
        <v>1449</v>
      </c>
      <c r="E1511" s="15" t="s">
        <v>1558</v>
      </c>
    </row>
    <row r="1512" spans="1:5" x14ac:dyDescent="0.25">
      <c r="A1512" s="36" t="e">
        <f>VLOOKUP($C1512,'Variable Information'!$A$2:$E$480,5,FALSE)</f>
        <v>#N/A</v>
      </c>
      <c r="B1512" s="36" t="e">
        <f>VLOOKUP($C1512,'Variable Information'!$A$1:$C$480,3,FALSE)</f>
        <v>#N/A</v>
      </c>
      <c r="C1512" s="35"/>
      <c r="D1512" s="30" t="s">
        <v>1451</v>
      </c>
      <c r="E1512" s="15" t="s">
        <v>1663</v>
      </c>
    </row>
    <row r="1513" spans="1:5" x14ac:dyDescent="0.25">
      <c r="A1513" s="36" t="str">
        <f>VLOOKUP($C1513,'Variable Information'!$A$2:$E$480,5,FALSE)</f>
        <v>AJR_drm_3</v>
      </c>
      <c r="B1513" s="36" t="str">
        <f>VLOOKUP($C1513,'Variable Information'!$A$1:$C$480,3,FALSE)</f>
        <v>Q26. Issue resolved - An Ombudsman (e.g. Financial Services Ombudsman)</v>
      </c>
      <c r="C1513" s="35" t="s">
        <v>807</v>
      </c>
      <c r="D1513" s="30" t="s">
        <v>1447</v>
      </c>
      <c r="E1513" s="15" t="s">
        <v>1557</v>
      </c>
    </row>
    <row r="1514" spans="1:5" x14ac:dyDescent="0.25">
      <c r="A1514" s="36" t="e">
        <f>VLOOKUP($C1514,'Variable Information'!$A$2:$E$480,5,FALSE)</f>
        <v>#N/A</v>
      </c>
      <c r="B1514" s="36" t="e">
        <f>VLOOKUP($C1514,'Variable Information'!$A$1:$C$480,3,FALSE)</f>
        <v>#N/A</v>
      </c>
      <c r="C1514" s="35"/>
      <c r="D1514" s="30" t="s">
        <v>1449</v>
      </c>
      <c r="E1514" s="15" t="s">
        <v>1558</v>
      </c>
    </row>
    <row r="1515" spans="1:5" x14ac:dyDescent="0.25">
      <c r="A1515" s="36" t="e">
        <f>VLOOKUP($C1515,'Variable Information'!$A$2:$E$480,5,FALSE)</f>
        <v>#N/A</v>
      </c>
      <c r="B1515" s="36" t="e">
        <f>VLOOKUP($C1515,'Variable Information'!$A$1:$C$480,3,FALSE)</f>
        <v>#N/A</v>
      </c>
      <c r="C1515" s="35"/>
      <c r="D1515" s="30" t="s">
        <v>1451</v>
      </c>
      <c r="E1515" s="15" t="s">
        <v>1663</v>
      </c>
    </row>
    <row r="1516" spans="1:5" x14ac:dyDescent="0.25">
      <c r="A1516" s="36" t="str">
        <f>VLOOKUP($C1516,'Variable Information'!$A$2:$E$480,5,FALSE)</f>
        <v>AJR_drm_4</v>
      </c>
      <c r="B1516" s="36" t="str">
        <f>VLOOKUP($C1516,'Variable Information'!$A$1:$C$480,3,FALSE)</f>
        <v>Q26. Issue resolved - The Gardai/police (or other law-enforcement)</v>
      </c>
      <c r="C1516" s="35" t="s">
        <v>810</v>
      </c>
      <c r="D1516" s="30" t="s">
        <v>1447</v>
      </c>
      <c r="E1516" s="15" t="s">
        <v>1557</v>
      </c>
    </row>
    <row r="1517" spans="1:5" x14ac:dyDescent="0.25">
      <c r="A1517" s="36" t="e">
        <f>VLOOKUP($C1517,'Variable Information'!$A$2:$E$480,5,FALSE)</f>
        <v>#N/A</v>
      </c>
      <c r="B1517" s="36" t="e">
        <f>VLOOKUP($C1517,'Variable Information'!$A$1:$C$480,3,FALSE)</f>
        <v>#N/A</v>
      </c>
      <c r="C1517" s="35"/>
      <c r="D1517" s="30" t="s">
        <v>1449</v>
      </c>
      <c r="E1517" s="15" t="s">
        <v>1558</v>
      </c>
    </row>
    <row r="1518" spans="1:5" x14ac:dyDescent="0.25">
      <c r="A1518" s="36" t="e">
        <f>VLOOKUP($C1518,'Variable Information'!$A$2:$E$480,5,FALSE)</f>
        <v>#N/A</v>
      </c>
      <c r="B1518" s="36" t="e">
        <f>VLOOKUP($C1518,'Variable Information'!$A$1:$C$480,3,FALSE)</f>
        <v>#N/A</v>
      </c>
      <c r="C1518" s="35"/>
      <c r="D1518" s="30" t="s">
        <v>1451</v>
      </c>
      <c r="E1518" s="15" t="s">
        <v>1663</v>
      </c>
    </row>
    <row r="1519" spans="1:5" x14ac:dyDescent="0.25">
      <c r="A1519" s="36" t="str">
        <f>VLOOKUP($C1519,'Variable Information'!$A$2:$E$480,5,FALSE)</f>
        <v>AJR_drm_5</v>
      </c>
      <c r="B1519" s="36" t="str">
        <f>VLOOKUP($C1519,'Variable Information'!$A$1:$C$480,3,FALSE)</f>
        <v>Q26. Issue resolved - A formal mediation, conciliation or other complaint or dispute resolution service (including Family Mediation Service)</v>
      </c>
      <c r="C1519" s="35" t="s">
        <v>813</v>
      </c>
      <c r="D1519" s="30" t="s">
        <v>1447</v>
      </c>
      <c r="E1519" s="15" t="s">
        <v>1557</v>
      </c>
    </row>
    <row r="1520" spans="1:5" x14ac:dyDescent="0.25">
      <c r="A1520" s="36" t="e">
        <f>VLOOKUP($C1520,'Variable Information'!$A$2:$E$480,5,FALSE)</f>
        <v>#N/A</v>
      </c>
      <c r="B1520" s="36" t="e">
        <f>VLOOKUP($C1520,'Variable Information'!$A$1:$C$480,3,FALSE)</f>
        <v>#N/A</v>
      </c>
      <c r="C1520" s="35"/>
      <c r="D1520" s="30" t="s">
        <v>1449</v>
      </c>
      <c r="E1520" s="15" t="s">
        <v>1558</v>
      </c>
    </row>
    <row r="1521" spans="1:5" x14ac:dyDescent="0.25">
      <c r="A1521" s="36" t="e">
        <f>VLOOKUP($C1521,'Variable Information'!$A$2:$E$480,5,FALSE)</f>
        <v>#N/A</v>
      </c>
      <c r="B1521" s="36" t="e">
        <f>VLOOKUP($C1521,'Variable Information'!$A$1:$C$480,3,FALSE)</f>
        <v>#N/A</v>
      </c>
      <c r="C1521" s="35"/>
      <c r="D1521" s="30" t="s">
        <v>1451</v>
      </c>
      <c r="E1521" s="15" t="s">
        <v>1663</v>
      </c>
    </row>
    <row r="1522" spans="1:5" x14ac:dyDescent="0.25">
      <c r="A1522" s="36" t="str">
        <f>VLOOKUP($C1522,'Variable Information'!$A$2:$E$480,5,FALSE)</f>
        <v>AJR_drm_6</v>
      </c>
      <c r="B1522" s="36" t="str">
        <f>VLOOKUP($C1522,'Variable Information'!$A$1:$C$480,3,FALSE)</f>
        <v>Q26. Issue resolved - A lawyer, or person working in a lawyer's office</v>
      </c>
      <c r="C1522" s="35" t="s">
        <v>816</v>
      </c>
      <c r="D1522" s="30" t="s">
        <v>1447</v>
      </c>
      <c r="E1522" s="15" t="s">
        <v>1557</v>
      </c>
    </row>
    <row r="1523" spans="1:5" x14ac:dyDescent="0.25">
      <c r="A1523" s="36" t="e">
        <f>VLOOKUP($C1523,'Variable Information'!$A$2:$E$480,5,FALSE)</f>
        <v>#N/A</v>
      </c>
      <c r="B1523" s="36" t="e">
        <f>VLOOKUP($C1523,'Variable Information'!$A$1:$C$480,3,FALSE)</f>
        <v>#N/A</v>
      </c>
      <c r="C1523" s="35"/>
      <c r="D1523" s="30" t="s">
        <v>1449</v>
      </c>
      <c r="E1523" s="15" t="s">
        <v>1558</v>
      </c>
    </row>
    <row r="1524" spans="1:5" x14ac:dyDescent="0.25">
      <c r="A1524" s="36" t="e">
        <f>VLOOKUP($C1524,'Variable Information'!$A$2:$E$480,5,FALSE)</f>
        <v>#N/A</v>
      </c>
      <c r="B1524" s="36" t="e">
        <f>VLOOKUP($C1524,'Variable Information'!$A$1:$C$480,3,FALSE)</f>
        <v>#N/A</v>
      </c>
      <c r="C1524" s="35"/>
      <c r="D1524" s="30" t="s">
        <v>1451</v>
      </c>
      <c r="E1524" s="15" t="s">
        <v>1663</v>
      </c>
    </row>
    <row r="1525" spans="1:5" x14ac:dyDescent="0.25">
      <c r="A1525" s="36" t="str">
        <f>VLOOKUP($C1525,'Variable Information'!$A$2:$E$480,5,FALSE)</f>
        <v>AJR_drm_7</v>
      </c>
      <c r="B1525" s="36" t="str">
        <f>VLOOKUP($C1525,'Variable Information'!$A$1:$C$480,3,FALSE)</f>
        <v>Q26. Issue resolved - A government department, local council or government agency or a person within them appointed to make decisions (e.g. a Housing or Social Welfare officer)</v>
      </c>
      <c r="C1525" s="35" t="s">
        <v>819</v>
      </c>
      <c r="D1525" s="30" t="s">
        <v>1447</v>
      </c>
      <c r="E1525" s="15" t="s">
        <v>1557</v>
      </c>
    </row>
    <row r="1526" spans="1:5" x14ac:dyDescent="0.25">
      <c r="A1526" s="36" t="e">
        <f>VLOOKUP($C1526,'Variable Information'!$A$2:$E$480,5,FALSE)</f>
        <v>#N/A</v>
      </c>
      <c r="B1526" s="36" t="e">
        <f>VLOOKUP($C1526,'Variable Information'!$A$1:$C$480,3,FALSE)</f>
        <v>#N/A</v>
      </c>
      <c r="C1526" s="35"/>
      <c r="D1526" s="30" t="s">
        <v>1449</v>
      </c>
      <c r="E1526" s="15" t="s">
        <v>1558</v>
      </c>
    </row>
    <row r="1527" spans="1:5" x14ac:dyDescent="0.25">
      <c r="A1527" s="36" t="e">
        <f>VLOOKUP($C1527,'Variable Information'!$A$2:$E$480,5,FALSE)</f>
        <v>#N/A</v>
      </c>
      <c r="B1527" s="36" t="e">
        <f>VLOOKUP($C1527,'Variable Information'!$A$1:$C$480,3,FALSE)</f>
        <v>#N/A</v>
      </c>
      <c r="C1527" s="35"/>
      <c r="D1527" s="30" t="s">
        <v>1451</v>
      </c>
      <c r="E1527" s="15" t="s">
        <v>1663</v>
      </c>
    </row>
    <row r="1528" spans="1:5" x14ac:dyDescent="0.25">
      <c r="A1528" s="36" t="str">
        <f>VLOOKUP($C1528,'Variable Information'!$A$2:$E$480,5,FALSE)</f>
        <v>AJR_drm_8</v>
      </c>
      <c r="B1528" s="36" t="str">
        <f>VLOOKUP($C1528,'Variable Information'!$A$1:$C$480,3,FALSE)</f>
        <v>Q26. Issue resolved - A community leader, or other person of standing (e.g. a politician, teacher, councillor, TDs or senator, or priest)</v>
      </c>
      <c r="C1528" s="35" t="s">
        <v>822</v>
      </c>
      <c r="D1528" s="30" t="s">
        <v>1447</v>
      </c>
      <c r="E1528" s="15" t="s">
        <v>1557</v>
      </c>
    </row>
    <row r="1529" spans="1:5" x14ac:dyDescent="0.25">
      <c r="A1529" s="36" t="e">
        <f>VLOOKUP($C1529,'Variable Information'!$A$2:$E$480,5,FALSE)</f>
        <v>#N/A</v>
      </c>
      <c r="B1529" s="36" t="e">
        <f>VLOOKUP($C1529,'Variable Information'!$A$1:$C$480,3,FALSE)</f>
        <v>#N/A</v>
      </c>
      <c r="C1529" s="35"/>
      <c r="D1529" s="30" t="s">
        <v>1449</v>
      </c>
      <c r="E1529" s="15" t="s">
        <v>1558</v>
      </c>
    </row>
    <row r="1530" spans="1:5" x14ac:dyDescent="0.25">
      <c r="A1530" s="36" t="e">
        <f>VLOOKUP($C1530,'Variable Information'!$A$2:$E$480,5,FALSE)</f>
        <v>#N/A</v>
      </c>
      <c r="B1530" s="36" t="e">
        <f>VLOOKUP($C1530,'Variable Information'!$A$1:$C$480,3,FALSE)</f>
        <v>#N/A</v>
      </c>
      <c r="C1530" s="35"/>
      <c r="D1530" s="30" t="s">
        <v>1451</v>
      </c>
      <c r="E1530" s="15" t="s">
        <v>1663</v>
      </c>
    </row>
    <row r="1531" spans="1:5" x14ac:dyDescent="0.25">
      <c r="A1531" s="36" t="str">
        <f>VLOOKUP($C1531,'Variable Information'!$A$2:$E$480,5,FALSE)</f>
        <v>AJR_drm_9</v>
      </c>
      <c r="B1531" s="36" t="str">
        <f>VLOOKUP($C1531,'Variable Information'!$A$1:$C$480,3,FALSE)</f>
        <v>Q26. Issue resolved - Other dispute resolution service, including online and commercial services</v>
      </c>
      <c r="C1531" s="35" t="s">
        <v>825</v>
      </c>
      <c r="D1531" s="30" t="s">
        <v>1447</v>
      </c>
      <c r="E1531" s="15" t="s">
        <v>1557</v>
      </c>
    </row>
    <row r="1532" spans="1:5" x14ac:dyDescent="0.25">
      <c r="A1532" s="36" t="e">
        <f>VLOOKUP($C1532,'Variable Information'!$A$2:$E$480,5,FALSE)</f>
        <v>#N/A</v>
      </c>
      <c r="B1532" s="36" t="e">
        <f>VLOOKUP($C1532,'Variable Information'!$A$1:$C$480,3,FALSE)</f>
        <v>#N/A</v>
      </c>
      <c r="C1532" s="35"/>
      <c r="D1532" s="30" t="s">
        <v>1449</v>
      </c>
      <c r="E1532" s="15" t="s">
        <v>1558</v>
      </c>
    </row>
    <row r="1533" spans="1:5" x14ac:dyDescent="0.25">
      <c r="A1533" s="36" t="e">
        <f>VLOOKUP($C1533,'Variable Information'!$A$2:$E$480,5,FALSE)</f>
        <v>#N/A</v>
      </c>
      <c r="B1533" s="36" t="e">
        <f>VLOOKUP($C1533,'Variable Information'!$A$1:$C$480,3,FALSE)</f>
        <v>#N/A</v>
      </c>
      <c r="C1533" s="35"/>
      <c r="D1533" s="30" t="s">
        <v>1451</v>
      </c>
      <c r="E1533" s="15" t="s">
        <v>1663</v>
      </c>
    </row>
    <row r="1534" spans="1:5" x14ac:dyDescent="0.25">
      <c r="A1534" s="36" t="str">
        <f>VLOOKUP($C1534,'Variable Information'!$A$2:$E$480,5,FALSE)</f>
        <v>AJR_drm_10</v>
      </c>
      <c r="B1534" s="36" t="str">
        <f>VLOOKUP($C1534,'Variable Information'!$A$1:$C$480,3,FALSE)</f>
        <v>Q26. Issue resolved - Other person (e.g. a friend, family member, or acquaintance not in a professional capacity)</v>
      </c>
      <c r="C1534" s="35" t="s">
        <v>828</v>
      </c>
      <c r="D1534" s="30" t="s">
        <v>1447</v>
      </c>
      <c r="E1534" s="15" t="s">
        <v>1557</v>
      </c>
    </row>
    <row r="1535" spans="1:5" x14ac:dyDescent="0.25">
      <c r="A1535" s="36" t="e">
        <f>VLOOKUP($C1535,'Variable Information'!$A$2:$E$480,5,FALSE)</f>
        <v>#N/A</v>
      </c>
      <c r="B1535" s="36" t="e">
        <f>VLOOKUP($C1535,'Variable Information'!$A$1:$C$480,3,FALSE)</f>
        <v>#N/A</v>
      </c>
      <c r="C1535" s="35"/>
      <c r="D1535" s="30" t="s">
        <v>1449</v>
      </c>
      <c r="E1535" s="15" t="s">
        <v>1558</v>
      </c>
    </row>
    <row r="1536" spans="1:5" x14ac:dyDescent="0.25">
      <c r="A1536" s="36" t="e">
        <f>VLOOKUP($C1536,'Variable Information'!$A$2:$E$480,5,FALSE)</f>
        <v>#N/A</v>
      </c>
      <c r="B1536" s="36" t="e">
        <f>VLOOKUP($C1536,'Variable Information'!$A$1:$C$480,3,FALSE)</f>
        <v>#N/A</v>
      </c>
      <c r="C1536" s="35"/>
      <c r="D1536" s="30" t="s">
        <v>1451</v>
      </c>
      <c r="E1536" s="15" t="s">
        <v>1663</v>
      </c>
    </row>
    <row r="1537" spans="1:5" x14ac:dyDescent="0.25">
      <c r="A1537" s="36" t="str">
        <f>VLOOKUP($C1537,'Variable Information'!$A$2:$E$480,5,FALSE)</f>
        <v>AJR_drm_11</v>
      </c>
      <c r="B1537" s="36" t="str">
        <f>VLOOKUP($C1537,'Variable Information'!$A$1:$C$480,3,FALSE)</f>
        <v>Q26. Issue resolved - Other professional or organisation</v>
      </c>
      <c r="C1537" s="35" t="s">
        <v>831</v>
      </c>
      <c r="D1537" s="30" t="s">
        <v>1447</v>
      </c>
      <c r="E1537" s="15" t="s">
        <v>1557</v>
      </c>
    </row>
    <row r="1538" spans="1:5" x14ac:dyDescent="0.25">
      <c r="A1538" s="36" t="e">
        <f>VLOOKUP($C1538,'Variable Information'!$A$2:$E$480,5,FALSE)</f>
        <v>#N/A</v>
      </c>
      <c r="B1538" s="36" t="e">
        <f>VLOOKUP($C1538,'Variable Information'!$A$1:$C$480,3,FALSE)</f>
        <v>#N/A</v>
      </c>
      <c r="C1538" s="35"/>
      <c r="D1538" s="30" t="s">
        <v>1449</v>
      </c>
      <c r="E1538" s="15" t="s">
        <v>1558</v>
      </c>
    </row>
    <row r="1539" spans="1:5" x14ac:dyDescent="0.25">
      <c r="A1539" s="36" t="e">
        <f>VLOOKUP($C1539,'Variable Information'!$A$2:$E$480,5,FALSE)</f>
        <v>#N/A</v>
      </c>
      <c r="B1539" s="36" t="e">
        <f>VLOOKUP($C1539,'Variable Information'!$A$1:$C$480,3,FALSE)</f>
        <v>#N/A</v>
      </c>
      <c r="C1539" s="35"/>
      <c r="D1539" s="30" t="s">
        <v>1451</v>
      </c>
      <c r="E1539" s="15" t="s">
        <v>1663</v>
      </c>
    </row>
    <row r="1540" spans="1:5" x14ac:dyDescent="0.25">
      <c r="A1540" s="36" t="str">
        <f>VLOOKUP($C1540,'Variable Information'!$A$2:$E$480,5,FALSE)</f>
        <v>AJR_noresol_reason_1</v>
      </c>
      <c r="B1540" s="36" t="str">
        <f>VLOOKUP($C1540,'Variable Information'!$A$1:$C$480,3,FALSE)</f>
        <v>Q27. What was the reason you have not turned / did not turn to a professional or organisation to resolve the issue? - The issue is/was not important enough</v>
      </c>
      <c r="C1540" s="35" t="s">
        <v>834</v>
      </c>
      <c r="D1540" s="30" t="s">
        <v>1664</v>
      </c>
      <c r="E1540" s="15" t="s">
        <v>1558</v>
      </c>
    </row>
    <row r="1541" spans="1:5" x14ac:dyDescent="0.25">
      <c r="A1541" s="36" t="e">
        <f>VLOOKUP($C1541,'Variable Information'!$A$2:$E$480,5,FALSE)</f>
        <v>#N/A</v>
      </c>
      <c r="B1541" s="36" t="e">
        <f>VLOOKUP($C1541,'Variable Information'!$A$1:$C$480,3,FALSE)</f>
        <v>#N/A</v>
      </c>
      <c r="C1541" s="35"/>
      <c r="D1541" s="30" t="s">
        <v>1447</v>
      </c>
      <c r="E1541" s="15" t="s">
        <v>1557</v>
      </c>
    </row>
    <row r="1542" spans="1:5" x14ac:dyDescent="0.25">
      <c r="A1542" s="36" t="str">
        <f>VLOOKUP($C1542,'Variable Information'!$A$2:$E$480,5,FALSE)</f>
        <v>AJR_noresol_reason_2</v>
      </c>
      <c r="B1542" s="36" t="str">
        <f>VLOOKUP($C1542,'Variable Information'!$A$1:$C$480,3,FALSE)</f>
        <v>Q27. What was the reason you have not turned / did not turn to a professional or organisation to resolve the issue? - The issue resolved so I didn't need to</v>
      </c>
      <c r="C1542" s="35" t="s">
        <v>838</v>
      </c>
      <c r="D1542" s="30" t="s">
        <v>1664</v>
      </c>
      <c r="E1542" s="15" t="s">
        <v>1558</v>
      </c>
    </row>
    <row r="1543" spans="1:5" x14ac:dyDescent="0.25">
      <c r="A1543" s="36" t="e">
        <f>VLOOKUP($C1543,'Variable Information'!$A$2:$E$480,5,FALSE)</f>
        <v>#N/A</v>
      </c>
      <c r="B1543" s="36" t="e">
        <f>VLOOKUP($C1543,'Variable Information'!$A$1:$C$480,3,FALSE)</f>
        <v>#N/A</v>
      </c>
      <c r="C1543" s="35"/>
      <c r="D1543" s="30" t="s">
        <v>1447</v>
      </c>
      <c r="E1543" s="15" t="s">
        <v>1557</v>
      </c>
    </row>
    <row r="1544" spans="1:5" x14ac:dyDescent="0.25">
      <c r="A1544" s="36" t="str">
        <f>VLOOKUP($C1544,'Variable Information'!$A$2:$E$480,5,FALSE)</f>
        <v>AJR_noresol_reason_3</v>
      </c>
      <c r="B1544" s="36" t="str">
        <f>VLOOKUP($C1544,'Variable Information'!$A$1:$C$480,3,FALSE)</f>
        <v>Q27. What was the reason you have not turned / did not turn to a professional or organisation to resolve the issue? - I was/am confident that I could/can easily resolve it by myself</v>
      </c>
      <c r="C1544" s="35" t="s">
        <v>841</v>
      </c>
      <c r="D1544" s="30" t="s">
        <v>1664</v>
      </c>
      <c r="E1544" s="15" t="s">
        <v>1558</v>
      </c>
    </row>
    <row r="1545" spans="1:5" x14ac:dyDescent="0.25">
      <c r="A1545" s="36" t="e">
        <f>VLOOKUP($C1545,'Variable Information'!$A$2:$E$480,5,FALSE)</f>
        <v>#N/A</v>
      </c>
      <c r="B1545" s="36" t="e">
        <f>VLOOKUP($C1545,'Variable Information'!$A$1:$C$480,3,FALSE)</f>
        <v>#N/A</v>
      </c>
      <c r="C1545" s="35"/>
      <c r="D1545" s="30" t="s">
        <v>1447</v>
      </c>
      <c r="E1545" s="15" t="s">
        <v>1557</v>
      </c>
    </row>
    <row r="1546" spans="1:5" x14ac:dyDescent="0.25">
      <c r="A1546" s="36" t="str">
        <f>VLOOKUP($C1546,'Variable Information'!$A$2:$E$480,5,FALSE)</f>
        <v>AJR_noresol_reason_4</v>
      </c>
      <c r="B1546" s="36" t="str">
        <f>VLOOKUP($C1546,'Variable Information'!$A$1:$C$480,3,FALSE)</f>
        <v>Q27. What was the reason you have not turned / did not turn to a professional or organisation to resolve the issue? - I was/am confident that I could/can easily resolve it with the help I got/am getting</v>
      </c>
      <c r="C1546" s="35" t="s">
        <v>844</v>
      </c>
      <c r="D1546" s="30" t="s">
        <v>1664</v>
      </c>
      <c r="E1546" s="15" t="s">
        <v>1558</v>
      </c>
    </row>
    <row r="1547" spans="1:5" x14ac:dyDescent="0.25">
      <c r="A1547" s="36" t="e">
        <f>VLOOKUP($C1547,'Variable Information'!$A$2:$E$480,5,FALSE)</f>
        <v>#N/A</v>
      </c>
      <c r="B1547" s="36" t="e">
        <f>VLOOKUP($C1547,'Variable Information'!$A$1:$C$480,3,FALSE)</f>
        <v>#N/A</v>
      </c>
      <c r="C1547" s="35"/>
      <c r="D1547" s="30" t="s">
        <v>1447</v>
      </c>
      <c r="E1547" s="15" t="s">
        <v>1557</v>
      </c>
    </row>
    <row r="1548" spans="1:5" x14ac:dyDescent="0.25">
      <c r="A1548" s="36" t="str">
        <f>VLOOKUP($C1548,'Variable Information'!$A$2:$E$480,5,FALSE)</f>
        <v>AJR_noresol_reason_5</v>
      </c>
      <c r="B1548" s="36" t="str">
        <f>VLOOKUP($C1548,'Variable Information'!$A$1:$C$480,3,FALSE)</f>
        <v>Q27. What was the reason you have not turned / did not turn to a professional or organisation to resolve the issue? - Up to the other party to take this action</v>
      </c>
      <c r="C1548" s="35" t="s">
        <v>847</v>
      </c>
      <c r="D1548" s="30" t="s">
        <v>1664</v>
      </c>
      <c r="E1548" s="15" t="s">
        <v>1558</v>
      </c>
    </row>
    <row r="1549" spans="1:5" x14ac:dyDescent="0.25">
      <c r="A1549" s="36" t="e">
        <f>VLOOKUP($C1549,'Variable Information'!$A$2:$E$480,5,FALSE)</f>
        <v>#N/A</v>
      </c>
      <c r="B1549" s="36" t="e">
        <f>VLOOKUP($C1549,'Variable Information'!$A$1:$C$480,3,FALSE)</f>
        <v>#N/A</v>
      </c>
      <c r="C1549" s="35"/>
      <c r="D1549" s="30" t="s">
        <v>1447</v>
      </c>
      <c r="E1549" s="15" t="s">
        <v>1557</v>
      </c>
    </row>
    <row r="1550" spans="1:5" x14ac:dyDescent="0.25">
      <c r="A1550" s="36" t="str">
        <f>VLOOKUP($C1550,'Variable Information'!$A$2:$E$480,5,FALSE)</f>
        <v>AJR_noresol_reason_6</v>
      </c>
      <c r="B1550" s="36" t="str">
        <f>VLOOKUP($C1550,'Variable Information'!$A$1:$C$480,3,FALSE)</f>
        <v>Q27. What was the reason you have not turned / did not turn to a professional or organisation to resolve the issue? - I caused the issue</v>
      </c>
      <c r="C1550" s="35" t="s">
        <v>850</v>
      </c>
      <c r="D1550" s="30" t="s">
        <v>1664</v>
      </c>
      <c r="E1550" s="15" t="s">
        <v>1558</v>
      </c>
    </row>
    <row r="1551" spans="1:5" x14ac:dyDescent="0.25">
      <c r="A1551" s="36" t="e">
        <f>VLOOKUP($C1551,'Variable Information'!$A$2:$E$480,5,FALSE)</f>
        <v>#N/A</v>
      </c>
      <c r="B1551" s="36" t="e">
        <f>VLOOKUP($C1551,'Variable Information'!$A$1:$C$480,3,FALSE)</f>
        <v>#N/A</v>
      </c>
      <c r="C1551" s="35"/>
      <c r="D1551" s="30" t="s">
        <v>1447</v>
      </c>
      <c r="E1551" s="15" t="s">
        <v>1557</v>
      </c>
    </row>
    <row r="1552" spans="1:5" x14ac:dyDescent="0.25">
      <c r="A1552" s="36" t="str">
        <f>VLOOKUP($C1552,'Variable Information'!$A$2:$E$480,5,FALSE)</f>
        <v>AJR_noresol_reason_7</v>
      </c>
      <c r="B1552" s="36" t="str">
        <f>VLOOKUP($C1552,'Variable Information'!$A$1:$C$480,3,FALSE)</f>
        <v>Q27. What was the reason you have not turned / did not turn to a professional or organisation to resolve the issue? - I did not know where to go</v>
      </c>
      <c r="C1552" s="35" t="s">
        <v>853</v>
      </c>
      <c r="D1552" s="30" t="s">
        <v>1664</v>
      </c>
      <c r="E1552" s="15" t="s">
        <v>1558</v>
      </c>
    </row>
    <row r="1553" spans="1:5" x14ac:dyDescent="0.25">
      <c r="A1553" s="36" t="e">
        <f>VLOOKUP($C1553,'Variable Information'!$A$2:$E$480,5,FALSE)</f>
        <v>#N/A</v>
      </c>
      <c r="B1553" s="36" t="e">
        <f>VLOOKUP($C1553,'Variable Information'!$A$1:$C$480,3,FALSE)</f>
        <v>#N/A</v>
      </c>
      <c r="C1553" s="35"/>
      <c r="D1553" s="30" t="s">
        <v>1447</v>
      </c>
      <c r="E1553" s="15" t="s">
        <v>1557</v>
      </c>
    </row>
    <row r="1554" spans="1:5" x14ac:dyDescent="0.25">
      <c r="A1554" s="36" t="str">
        <f>VLOOKUP($C1554,'Variable Information'!$A$2:$E$480,5,FALSE)</f>
        <v>AJR_noresol_reason_8</v>
      </c>
      <c r="B1554" s="36" t="str">
        <f>VLOOKUP($C1554,'Variable Information'!$A$1:$C$480,3,FALSE)</f>
        <v>Q27. What was the reason you have not turned / did not turn to a professional or organisation to resolve the issue? - I could not obtain legal assistance</v>
      </c>
      <c r="C1554" s="35" t="s">
        <v>856</v>
      </c>
      <c r="D1554" s="30" t="s">
        <v>1664</v>
      </c>
      <c r="E1554" s="15" t="s">
        <v>1558</v>
      </c>
    </row>
    <row r="1555" spans="1:5" x14ac:dyDescent="0.25">
      <c r="A1555" s="36" t="e">
        <f>VLOOKUP($C1555,'Variable Information'!$A$2:$E$480,5,FALSE)</f>
        <v>#N/A</v>
      </c>
      <c r="B1555" s="36" t="e">
        <f>VLOOKUP($C1555,'Variable Information'!$A$1:$C$480,3,FALSE)</f>
        <v>#N/A</v>
      </c>
      <c r="C1555" s="35"/>
      <c r="D1555" s="30" t="s">
        <v>1447</v>
      </c>
      <c r="E1555" s="15" t="s">
        <v>1557</v>
      </c>
    </row>
    <row r="1556" spans="1:5" x14ac:dyDescent="0.25">
      <c r="A1556" s="36" t="str">
        <f>VLOOKUP($C1556,'Variable Information'!$A$2:$E$480,5,FALSE)</f>
        <v>AJR_noresol_reason_9</v>
      </c>
      <c r="B1556" s="36" t="str">
        <f>VLOOKUP($C1556,'Variable Information'!$A$1:$C$480,3,FALSE)</f>
        <v>Q27. What was the reason you have not turned / did not turn to a professional or organisation to resolve the issue? - It was too expensive / I was fearful of what it could cost</v>
      </c>
      <c r="C1556" s="35" t="s">
        <v>859</v>
      </c>
      <c r="D1556" s="30" t="s">
        <v>1664</v>
      </c>
      <c r="E1556" s="15" t="s">
        <v>1558</v>
      </c>
    </row>
    <row r="1557" spans="1:5" x14ac:dyDescent="0.25">
      <c r="A1557" s="36" t="e">
        <f>VLOOKUP($C1557,'Variable Information'!$A$2:$E$480,5,FALSE)</f>
        <v>#N/A</v>
      </c>
      <c r="B1557" s="36" t="e">
        <f>VLOOKUP($C1557,'Variable Information'!$A$1:$C$480,3,FALSE)</f>
        <v>#N/A</v>
      </c>
      <c r="C1557" s="35"/>
      <c r="D1557" s="30" t="s">
        <v>1447</v>
      </c>
      <c r="E1557" s="15" t="s">
        <v>1557</v>
      </c>
    </row>
    <row r="1558" spans="1:5" x14ac:dyDescent="0.25">
      <c r="A1558" s="36" t="str">
        <f>VLOOKUP($C1558,'Variable Information'!$A$2:$E$480,5,FALSE)</f>
        <v>AJR_noresol_reason_10</v>
      </c>
      <c r="B1558" s="36" t="str">
        <f>VLOOKUP($C1558,'Variable Information'!$A$1:$C$480,3,FALSE)</f>
        <v>Q27. What was the reason you have not turned / did not turn to a professional or organisation to resolve the issue? - It was too far away or hard to reach</v>
      </c>
      <c r="C1558" s="35" t="s">
        <v>862</v>
      </c>
      <c r="D1558" s="30" t="s">
        <v>1664</v>
      </c>
      <c r="E1558" s="15" t="s">
        <v>1558</v>
      </c>
    </row>
    <row r="1559" spans="1:5" x14ac:dyDescent="0.25">
      <c r="A1559" s="36" t="e">
        <f>VLOOKUP($C1559,'Variable Information'!$A$2:$E$480,5,FALSE)</f>
        <v>#N/A</v>
      </c>
      <c r="B1559" s="36" t="e">
        <f>VLOOKUP($C1559,'Variable Information'!$A$1:$C$480,3,FALSE)</f>
        <v>#N/A</v>
      </c>
      <c r="C1559" s="35"/>
      <c r="D1559" s="30" t="s">
        <v>1447</v>
      </c>
      <c r="E1559" s="15" t="s">
        <v>1557</v>
      </c>
    </row>
    <row r="1560" spans="1:5" x14ac:dyDescent="0.25">
      <c r="A1560" s="36" t="str">
        <f>VLOOKUP($C1560,'Variable Information'!$A$2:$E$480,5,FALSE)</f>
        <v>AJR_noresol_reason_11</v>
      </c>
      <c r="B1560" s="36" t="str">
        <f>VLOOKUP($C1560,'Variable Information'!$A$1:$C$480,3,FALSE)</f>
        <v>Q27. What was the reason you have not turned / did not turn to a professional or organisation to resolve the issue? - It was too inconvenient</v>
      </c>
      <c r="C1560" s="35" t="s">
        <v>865</v>
      </c>
      <c r="D1560" s="30" t="s">
        <v>1664</v>
      </c>
      <c r="E1560" s="15" t="s">
        <v>1558</v>
      </c>
    </row>
    <row r="1561" spans="1:5" x14ac:dyDescent="0.25">
      <c r="A1561" s="36" t="e">
        <f>VLOOKUP($C1561,'Variable Information'!$A$2:$E$480,5,FALSE)</f>
        <v>#N/A</v>
      </c>
      <c r="B1561" s="36" t="e">
        <f>VLOOKUP($C1561,'Variable Information'!$A$1:$C$480,3,FALSE)</f>
        <v>#N/A</v>
      </c>
      <c r="C1561" s="35"/>
      <c r="D1561" s="30" t="s">
        <v>1447</v>
      </c>
      <c r="E1561" s="15" t="s">
        <v>1557</v>
      </c>
    </row>
    <row r="1562" spans="1:5" x14ac:dyDescent="0.25">
      <c r="A1562" s="36" t="str">
        <f>VLOOKUP($C1562,'Variable Information'!$A$2:$E$480,5,FALSE)</f>
        <v>AJR_noresol_reason_12</v>
      </c>
      <c r="B1562" s="36" t="str">
        <f>VLOOKUP($C1562,'Variable Information'!$A$1:$C$480,3,FALSE)</f>
        <v>Q27. What was the reason you have not turned / did not turn to a professional or organisation to resolve the issue? - I did not trust the authorities</v>
      </c>
      <c r="C1562" s="35" t="s">
        <v>868</v>
      </c>
      <c r="D1562" s="30" t="s">
        <v>1664</v>
      </c>
      <c r="E1562" s="15" t="s">
        <v>1558</v>
      </c>
    </row>
    <row r="1563" spans="1:5" x14ac:dyDescent="0.25">
      <c r="A1563" s="36" t="e">
        <f>VLOOKUP($C1563,'Variable Information'!$A$2:$E$480,5,FALSE)</f>
        <v>#N/A</v>
      </c>
      <c r="B1563" s="36" t="e">
        <f>VLOOKUP($C1563,'Variable Information'!$A$1:$C$480,3,FALSE)</f>
        <v>#N/A</v>
      </c>
      <c r="C1563" s="35"/>
      <c r="D1563" s="30" t="s">
        <v>1447</v>
      </c>
      <c r="E1563" s="15" t="s">
        <v>1557</v>
      </c>
    </row>
    <row r="1564" spans="1:5" x14ac:dyDescent="0.25">
      <c r="A1564" s="36" t="str">
        <f>VLOOKUP($C1564,'Variable Information'!$A$2:$E$480,5,FALSE)</f>
        <v>AJR_noresol_reason_13</v>
      </c>
      <c r="B1564" s="36" t="str">
        <f>VLOOKUP($C1564,'Variable Information'!$A$1:$C$480,3,FALSE)</f>
        <v>Q27. What was the reason you have not turned / did not turn to a professional or organisation to resolve the issue? - I did not think they could help</v>
      </c>
      <c r="C1564" s="35" t="s">
        <v>871</v>
      </c>
      <c r="D1564" s="30" t="s">
        <v>1664</v>
      </c>
      <c r="E1564" s="15" t="s">
        <v>1558</v>
      </c>
    </row>
    <row r="1565" spans="1:5" x14ac:dyDescent="0.25">
      <c r="A1565" s="36" t="e">
        <f>VLOOKUP($C1565,'Variable Information'!$A$2:$E$480,5,FALSE)</f>
        <v>#N/A</v>
      </c>
      <c r="B1565" s="36" t="e">
        <f>VLOOKUP($C1565,'Variable Information'!$A$1:$C$480,3,FALSE)</f>
        <v>#N/A</v>
      </c>
      <c r="C1565" s="35"/>
      <c r="D1565" s="30" t="s">
        <v>1447</v>
      </c>
      <c r="E1565" s="15" t="s">
        <v>1557</v>
      </c>
    </row>
    <row r="1566" spans="1:5" x14ac:dyDescent="0.25">
      <c r="A1566" s="36" t="str">
        <f>VLOOKUP($C1566,'Variable Information'!$A$2:$E$480,5,FALSE)</f>
        <v>AJR_noresol_reason_14</v>
      </c>
      <c r="B1566" s="36" t="str">
        <f>VLOOKUP($C1566,'Variable Information'!$A$1:$C$480,3,FALSE)</f>
        <v>Q27. What was the reason you have not turned / did not turn to a professional or organisation to resolve the issue? - I was afraid of the consequences for me/my family</v>
      </c>
      <c r="C1566" s="35" t="s">
        <v>874</v>
      </c>
      <c r="D1566" s="30" t="s">
        <v>1664</v>
      </c>
      <c r="E1566" s="15" t="s">
        <v>1558</v>
      </c>
    </row>
    <row r="1567" spans="1:5" x14ac:dyDescent="0.25">
      <c r="A1567" s="36" t="e">
        <f>VLOOKUP($C1567,'Variable Information'!$A$2:$E$480,5,FALSE)</f>
        <v>#N/A</v>
      </c>
      <c r="B1567" s="36" t="e">
        <f>VLOOKUP($C1567,'Variable Information'!$A$1:$C$480,3,FALSE)</f>
        <v>#N/A</v>
      </c>
      <c r="C1567" s="35"/>
      <c r="D1567" s="30" t="s">
        <v>1447</v>
      </c>
      <c r="E1567" s="15" t="s">
        <v>1557</v>
      </c>
    </row>
    <row r="1568" spans="1:5" x14ac:dyDescent="0.25">
      <c r="A1568" s="36" t="str">
        <f>VLOOKUP($C1568,'Variable Information'!$A$2:$E$480,5,FALSE)</f>
        <v>AJR_noresol_reason_15</v>
      </c>
      <c r="B1568" s="36" t="str">
        <f>VLOOKUP($C1568,'Variable Information'!$A$1:$C$480,3,FALSE)</f>
        <v>Q27. What was the reason you have not turned / did not turn to a professional or organisation to resolve the issue? - I did not know it was possible to turn somewhere to resolve the issue</v>
      </c>
      <c r="C1568" s="35" t="s">
        <v>877</v>
      </c>
      <c r="D1568" s="30" t="s">
        <v>1664</v>
      </c>
      <c r="E1568" s="15" t="s">
        <v>1558</v>
      </c>
    </row>
    <row r="1569" spans="1:5" x14ac:dyDescent="0.25">
      <c r="A1569" s="36" t="e">
        <f>VLOOKUP($C1569,'Variable Information'!$A$2:$E$480,5,FALSE)</f>
        <v>#N/A</v>
      </c>
      <c r="B1569" s="36" t="e">
        <f>VLOOKUP($C1569,'Variable Information'!$A$1:$C$480,3,FALSE)</f>
        <v>#N/A</v>
      </c>
      <c r="C1569" s="35"/>
      <c r="D1569" s="30" t="s">
        <v>1447</v>
      </c>
      <c r="E1569" s="15" t="s">
        <v>1557</v>
      </c>
    </row>
    <row r="1570" spans="1:5" x14ac:dyDescent="0.25">
      <c r="A1570" s="36" t="str">
        <f>VLOOKUP($C1570,'Variable Information'!$A$2:$E$480,5,FALSE)</f>
        <v>AJR_noresol_reason_16</v>
      </c>
      <c r="B1570" s="36" t="str">
        <f>VLOOKUP($C1570,'Variable Information'!$A$1:$C$480,3,FALSE)</f>
        <v>Q27. What was the reason you have not turned / did not turn to a professional or organisation to resolve the issue? - Other reason:</v>
      </c>
      <c r="C1570" s="35" t="s">
        <v>880</v>
      </c>
      <c r="D1570" s="30" t="s">
        <v>1664</v>
      </c>
      <c r="E1570" s="15" t="s">
        <v>1558</v>
      </c>
    </row>
    <row r="1571" spans="1:5" x14ac:dyDescent="0.25">
      <c r="A1571" s="36" t="e">
        <f>VLOOKUP($C1571,'Variable Information'!$A$2:$E$480,5,FALSE)</f>
        <v>#N/A</v>
      </c>
      <c r="B1571" s="36" t="e">
        <f>VLOOKUP($C1571,'Variable Information'!$A$1:$C$480,3,FALSE)</f>
        <v>#N/A</v>
      </c>
      <c r="C1571" s="35"/>
      <c r="D1571" s="30" t="s">
        <v>1447</v>
      </c>
      <c r="E1571" s="15" t="s">
        <v>1557</v>
      </c>
    </row>
    <row r="1572" spans="1:5" x14ac:dyDescent="0.25">
      <c r="A1572" s="36" t="str">
        <f>VLOOKUP($C1572,'Variable Information'!$A$2:$E$480,5,FALSE)</f>
        <v>AJR_noresol_reason_17</v>
      </c>
      <c r="B1572" s="36" t="str">
        <f>VLOOKUP($C1572,'Variable Information'!$A$1:$C$480,3,FALSE)</f>
        <v>Q27. What was the reason you have not turned / did not turn to a professional or organisation to resolve the issue? - Don't know</v>
      </c>
      <c r="C1572" s="35" t="s">
        <v>883</v>
      </c>
      <c r="D1572" s="30" t="s">
        <v>1664</v>
      </c>
      <c r="E1572" s="15" t="s">
        <v>1558</v>
      </c>
    </row>
    <row r="1573" spans="1:5" x14ac:dyDescent="0.25">
      <c r="A1573" s="36" t="e">
        <f>VLOOKUP($C1573,'Variable Information'!$A$2:$E$480,5,FALSE)</f>
        <v>#N/A</v>
      </c>
      <c r="B1573" s="36" t="e">
        <f>VLOOKUP($C1573,'Variable Information'!$A$1:$C$480,3,FALSE)</f>
        <v>#N/A</v>
      </c>
      <c r="C1573" s="35"/>
      <c r="D1573" s="30" t="s">
        <v>1447</v>
      </c>
      <c r="E1573" s="15" t="s">
        <v>1557</v>
      </c>
    </row>
    <row r="1574" spans="1:5" x14ac:dyDescent="0.25">
      <c r="A1574" s="36" t="str">
        <f>VLOOKUP($C1574,'Variable Information'!$A$2:$E$480,5,FALSE)</f>
        <v>AJR_noresol_reason_18</v>
      </c>
      <c r="B1574" s="36" t="str">
        <f>VLOOKUP($C1574,'Variable Information'!$A$1:$C$480,3,FALSE)</f>
        <v>Q27. What was the reason you have not turned / did not turn to a professional or organisation to resolve the issue? - Prefer not to say</v>
      </c>
      <c r="C1574" s="35" t="s">
        <v>886</v>
      </c>
      <c r="D1574" s="30" t="s">
        <v>1664</v>
      </c>
      <c r="E1574" s="15" t="s">
        <v>1558</v>
      </c>
    </row>
    <row r="1575" spans="1:5" x14ac:dyDescent="0.25">
      <c r="A1575" s="36" t="e">
        <f>VLOOKUP($C1575,'Variable Information'!$A$2:$E$480,5,FALSE)</f>
        <v>#N/A</v>
      </c>
      <c r="B1575" s="36" t="e">
        <f>VLOOKUP($C1575,'Variable Information'!$A$1:$C$480,3,FALSE)</f>
        <v>#N/A</v>
      </c>
      <c r="C1575" s="35"/>
      <c r="D1575" s="30" t="s">
        <v>1447</v>
      </c>
      <c r="E1575" s="15" t="s">
        <v>1557</v>
      </c>
    </row>
    <row r="1576" spans="1:5" x14ac:dyDescent="0.25">
      <c r="A1576" s="36" t="str">
        <f>VLOOKUP($C1576,'Variable Information'!$A$2:$E$480,5,FALSE)</f>
        <v>AJR_drm_1_a</v>
      </c>
      <c r="B1576" s="36" t="str">
        <f>VLOOKUP($C1576,'Variable Information'!$A$1:$C$480,3,FALSE)</f>
        <v>Q29_1_iter01_a. Agree or Disagree - A court - Both parties had the same opportunity to explain their position</v>
      </c>
      <c r="C1576" s="35" t="s">
        <v>889</v>
      </c>
      <c r="D1576" s="30" t="s">
        <v>1447</v>
      </c>
      <c r="E1576" s="15" t="s">
        <v>1674</v>
      </c>
    </row>
    <row r="1577" spans="1:5" x14ac:dyDescent="0.25">
      <c r="A1577" s="36" t="e">
        <f>VLOOKUP($C1577,'Variable Information'!$A$2:$E$480,5,FALSE)</f>
        <v>#N/A</v>
      </c>
      <c r="B1577" s="36" t="e">
        <f>VLOOKUP($C1577,'Variable Information'!$A$1:$C$480,3,FALSE)</f>
        <v>#N/A</v>
      </c>
      <c r="C1577" s="35"/>
      <c r="D1577" s="30" t="s">
        <v>1449</v>
      </c>
      <c r="E1577" s="15" t="s">
        <v>1675</v>
      </c>
    </row>
    <row r="1578" spans="1:5" x14ac:dyDescent="0.25">
      <c r="A1578" s="36" t="e">
        <f>VLOOKUP($C1578,'Variable Information'!$A$2:$E$480,5,FALSE)</f>
        <v>#N/A</v>
      </c>
      <c r="B1578" s="36" t="e">
        <f>VLOOKUP($C1578,'Variable Information'!$A$1:$C$480,3,FALSE)</f>
        <v>#N/A</v>
      </c>
      <c r="C1578" s="35"/>
      <c r="D1578" s="30" t="s">
        <v>1451</v>
      </c>
      <c r="E1578" s="15" t="s">
        <v>1676</v>
      </c>
    </row>
    <row r="1579" spans="1:5" x14ac:dyDescent="0.25">
      <c r="A1579" s="36" t="e">
        <f>VLOOKUP($C1579,'Variable Information'!$A$2:$E$480,5,FALSE)</f>
        <v>#N/A</v>
      </c>
      <c r="B1579" s="36" t="e">
        <f>VLOOKUP($C1579,'Variable Information'!$A$1:$C$480,3,FALSE)</f>
        <v>#N/A</v>
      </c>
      <c r="C1579" s="35"/>
      <c r="D1579" s="30" t="s">
        <v>1456</v>
      </c>
      <c r="E1579" s="15" t="s">
        <v>1677</v>
      </c>
    </row>
    <row r="1580" spans="1:5" x14ac:dyDescent="0.25">
      <c r="A1580" s="36" t="e">
        <f>VLOOKUP($C1580,'Variable Information'!$A$2:$E$480,5,FALSE)</f>
        <v>#N/A</v>
      </c>
      <c r="B1580" s="36" t="e">
        <f>VLOOKUP($C1580,'Variable Information'!$A$1:$C$480,3,FALSE)</f>
        <v>#N/A</v>
      </c>
      <c r="C1580" s="35"/>
      <c r="D1580" s="30" t="s">
        <v>1458</v>
      </c>
      <c r="E1580" s="15" t="s">
        <v>1669</v>
      </c>
    </row>
    <row r="1581" spans="1:5" x14ac:dyDescent="0.25">
      <c r="A1581" s="36" t="e">
        <f>VLOOKUP($C1581,'Variable Information'!$A$2:$E$480,5,FALSE)</f>
        <v>#N/A</v>
      </c>
      <c r="B1581" s="36" t="e">
        <f>VLOOKUP($C1581,'Variable Information'!$A$1:$C$480,3,FALSE)</f>
        <v>#N/A</v>
      </c>
      <c r="C1581" s="35"/>
      <c r="D1581" s="30" t="s">
        <v>1460</v>
      </c>
      <c r="E1581" s="15" t="s">
        <v>1678</v>
      </c>
    </row>
    <row r="1582" spans="1:5" x14ac:dyDescent="0.25">
      <c r="A1582" s="36" t="str">
        <f>VLOOKUP($C1582,'Variable Information'!$A$2:$E$480,5,FALSE)</f>
        <v>AJR_drm_1_b</v>
      </c>
      <c r="B1582" s="36" t="str">
        <f>VLOOKUP($C1582,'Variable Information'!$A$1:$C$480,3,FALSE)</f>
        <v>Q29_1_iter01_b. Agree or Disagree - A court - The justification for the decision/outcome was clearly explained to me</v>
      </c>
      <c r="C1582" s="35" t="s">
        <v>892</v>
      </c>
      <c r="D1582" s="30" t="s">
        <v>1447</v>
      </c>
      <c r="E1582" s="15" t="s">
        <v>1674</v>
      </c>
    </row>
    <row r="1583" spans="1:5" x14ac:dyDescent="0.25">
      <c r="A1583" s="36" t="e">
        <f>VLOOKUP($C1583,'Variable Information'!$A$2:$E$480,5,FALSE)</f>
        <v>#N/A</v>
      </c>
      <c r="B1583" s="36" t="e">
        <f>VLOOKUP($C1583,'Variable Information'!$A$1:$C$480,3,FALSE)</f>
        <v>#N/A</v>
      </c>
      <c r="C1583" s="35"/>
      <c r="D1583" s="30" t="s">
        <v>1449</v>
      </c>
      <c r="E1583" s="15" t="s">
        <v>1675</v>
      </c>
    </row>
    <row r="1584" spans="1:5" x14ac:dyDescent="0.25">
      <c r="A1584" s="36" t="e">
        <f>VLOOKUP($C1584,'Variable Information'!$A$2:$E$480,5,FALSE)</f>
        <v>#N/A</v>
      </c>
      <c r="B1584" s="36" t="e">
        <f>VLOOKUP($C1584,'Variable Information'!$A$1:$C$480,3,FALSE)</f>
        <v>#N/A</v>
      </c>
      <c r="C1584" s="35"/>
      <c r="D1584" s="30" t="s">
        <v>1451</v>
      </c>
      <c r="E1584" s="15" t="s">
        <v>1676</v>
      </c>
    </row>
    <row r="1585" spans="1:5" x14ac:dyDescent="0.25">
      <c r="A1585" s="36" t="e">
        <f>VLOOKUP($C1585,'Variable Information'!$A$2:$E$480,5,FALSE)</f>
        <v>#N/A</v>
      </c>
      <c r="B1585" s="36" t="e">
        <f>VLOOKUP($C1585,'Variable Information'!$A$1:$C$480,3,FALSE)</f>
        <v>#N/A</v>
      </c>
      <c r="C1585" s="35"/>
      <c r="D1585" s="30" t="s">
        <v>1456</v>
      </c>
      <c r="E1585" s="15" t="s">
        <v>1677</v>
      </c>
    </row>
    <row r="1586" spans="1:5" x14ac:dyDescent="0.25">
      <c r="A1586" s="36" t="e">
        <f>VLOOKUP($C1586,'Variable Information'!$A$2:$E$480,5,FALSE)</f>
        <v>#N/A</v>
      </c>
      <c r="B1586" s="36" t="e">
        <f>VLOOKUP($C1586,'Variable Information'!$A$1:$C$480,3,FALSE)</f>
        <v>#N/A</v>
      </c>
      <c r="C1586" s="35"/>
      <c r="D1586" s="30" t="s">
        <v>1458</v>
      </c>
      <c r="E1586" s="15" t="s">
        <v>1669</v>
      </c>
    </row>
    <row r="1587" spans="1:5" x14ac:dyDescent="0.25">
      <c r="A1587" s="36" t="e">
        <f>VLOOKUP($C1587,'Variable Information'!$A$2:$E$480,5,FALSE)</f>
        <v>#N/A</v>
      </c>
      <c r="B1587" s="36" t="e">
        <f>VLOOKUP($C1587,'Variable Information'!$A$1:$C$480,3,FALSE)</f>
        <v>#N/A</v>
      </c>
      <c r="C1587" s="35"/>
      <c r="D1587" s="30" t="s">
        <v>1460</v>
      </c>
      <c r="E1587" s="15" t="s">
        <v>1678</v>
      </c>
    </row>
    <row r="1588" spans="1:5" x14ac:dyDescent="0.25">
      <c r="A1588" s="36" t="str">
        <f>VLOOKUP($C1588,'Variable Information'!$A$2:$E$480,5,FALSE)</f>
        <v>AJR_drm_1_c</v>
      </c>
      <c r="B1588" s="36" t="str">
        <f>VLOOKUP($C1588,'Variable Information'!$A$1:$C$480,3,FALSE)</f>
        <v>Q29_1_iter01_c. Agree or Disagree - A court - The process was efficient</v>
      </c>
      <c r="C1588" s="35" t="s">
        <v>895</v>
      </c>
      <c r="D1588" s="30" t="s">
        <v>1447</v>
      </c>
      <c r="E1588" s="15" t="s">
        <v>1674</v>
      </c>
    </row>
    <row r="1589" spans="1:5" x14ac:dyDescent="0.25">
      <c r="A1589" s="36" t="e">
        <f>VLOOKUP($C1589,'Variable Information'!$A$2:$E$480,5,FALSE)</f>
        <v>#N/A</v>
      </c>
      <c r="B1589" s="36" t="e">
        <f>VLOOKUP($C1589,'Variable Information'!$A$1:$C$480,3,FALSE)</f>
        <v>#N/A</v>
      </c>
      <c r="C1589" s="35"/>
      <c r="D1589" s="30" t="s">
        <v>1449</v>
      </c>
      <c r="E1589" s="15" t="s">
        <v>1675</v>
      </c>
    </row>
    <row r="1590" spans="1:5" x14ac:dyDescent="0.25">
      <c r="A1590" s="36" t="e">
        <f>VLOOKUP($C1590,'Variable Information'!$A$2:$E$480,5,FALSE)</f>
        <v>#N/A</v>
      </c>
      <c r="B1590" s="36" t="e">
        <f>VLOOKUP($C1590,'Variable Information'!$A$1:$C$480,3,FALSE)</f>
        <v>#N/A</v>
      </c>
      <c r="C1590" s="35"/>
      <c r="D1590" s="30" t="s">
        <v>1451</v>
      </c>
      <c r="E1590" s="15" t="s">
        <v>1676</v>
      </c>
    </row>
    <row r="1591" spans="1:5" x14ac:dyDescent="0.25">
      <c r="A1591" s="36" t="e">
        <f>VLOOKUP($C1591,'Variable Information'!$A$2:$E$480,5,FALSE)</f>
        <v>#N/A</v>
      </c>
      <c r="B1591" s="36" t="e">
        <f>VLOOKUP($C1591,'Variable Information'!$A$1:$C$480,3,FALSE)</f>
        <v>#N/A</v>
      </c>
      <c r="C1591" s="35"/>
      <c r="D1591" s="30" t="s">
        <v>1456</v>
      </c>
      <c r="E1591" s="15" t="s">
        <v>1677</v>
      </c>
    </row>
    <row r="1592" spans="1:5" x14ac:dyDescent="0.25">
      <c r="A1592" s="36" t="e">
        <f>VLOOKUP($C1592,'Variable Information'!$A$2:$E$480,5,FALSE)</f>
        <v>#N/A</v>
      </c>
      <c r="B1592" s="36" t="e">
        <f>VLOOKUP($C1592,'Variable Information'!$A$1:$C$480,3,FALSE)</f>
        <v>#N/A</v>
      </c>
      <c r="C1592" s="35"/>
      <c r="D1592" s="30" t="s">
        <v>1458</v>
      </c>
      <c r="E1592" s="15" t="s">
        <v>1669</v>
      </c>
    </row>
    <row r="1593" spans="1:5" x14ac:dyDescent="0.25">
      <c r="A1593" s="36" t="e">
        <f>VLOOKUP($C1593,'Variable Information'!$A$2:$E$480,5,FALSE)</f>
        <v>#N/A</v>
      </c>
      <c r="B1593" s="36" t="e">
        <f>VLOOKUP($C1593,'Variable Information'!$A$1:$C$480,3,FALSE)</f>
        <v>#N/A</v>
      </c>
      <c r="C1593" s="35"/>
      <c r="D1593" s="30" t="s">
        <v>1460</v>
      </c>
      <c r="E1593" s="15" t="s">
        <v>1678</v>
      </c>
    </row>
    <row r="1594" spans="1:5" x14ac:dyDescent="0.25">
      <c r="A1594" s="36" t="str">
        <f>VLOOKUP($C1594,'Variable Information'!$A$2:$E$480,5,FALSE)</f>
        <v>AJR_drm_1_d</v>
      </c>
      <c r="B1594" s="36" t="str">
        <f>VLOOKUP($C1594,'Variable Information'!$A$1:$C$480,3,FALSE)</f>
        <v>Q29_1_iter01_d. Agree or Disagree - A court - The process was affordable</v>
      </c>
      <c r="C1594" s="35" t="s">
        <v>898</v>
      </c>
      <c r="D1594" s="30" t="s">
        <v>1447</v>
      </c>
      <c r="E1594" s="15" t="s">
        <v>1674</v>
      </c>
    </row>
    <row r="1595" spans="1:5" x14ac:dyDescent="0.25">
      <c r="A1595" s="36" t="e">
        <f>VLOOKUP($C1595,'Variable Information'!$A$2:$E$480,5,FALSE)</f>
        <v>#N/A</v>
      </c>
      <c r="B1595" s="36" t="e">
        <f>VLOOKUP($C1595,'Variable Information'!$A$1:$C$480,3,FALSE)</f>
        <v>#N/A</v>
      </c>
      <c r="C1595" s="35"/>
      <c r="D1595" s="30" t="s">
        <v>1449</v>
      </c>
      <c r="E1595" s="15" t="s">
        <v>1675</v>
      </c>
    </row>
    <row r="1596" spans="1:5" x14ac:dyDescent="0.25">
      <c r="A1596" s="36" t="e">
        <f>VLOOKUP($C1596,'Variable Information'!$A$2:$E$480,5,FALSE)</f>
        <v>#N/A</v>
      </c>
      <c r="B1596" s="36" t="e">
        <f>VLOOKUP($C1596,'Variable Information'!$A$1:$C$480,3,FALSE)</f>
        <v>#N/A</v>
      </c>
      <c r="C1596" s="35"/>
      <c r="D1596" s="30" t="s">
        <v>1451</v>
      </c>
      <c r="E1596" s="15" t="s">
        <v>1676</v>
      </c>
    </row>
    <row r="1597" spans="1:5" x14ac:dyDescent="0.25">
      <c r="A1597" s="36" t="e">
        <f>VLOOKUP($C1597,'Variable Information'!$A$2:$E$480,5,FALSE)</f>
        <v>#N/A</v>
      </c>
      <c r="B1597" s="36" t="e">
        <f>VLOOKUP($C1597,'Variable Information'!$A$1:$C$480,3,FALSE)</f>
        <v>#N/A</v>
      </c>
      <c r="C1597" s="35"/>
      <c r="D1597" s="30" t="s">
        <v>1456</v>
      </c>
      <c r="E1597" s="15" t="s">
        <v>1677</v>
      </c>
    </row>
    <row r="1598" spans="1:5" x14ac:dyDescent="0.25">
      <c r="A1598" s="36" t="e">
        <f>VLOOKUP($C1598,'Variable Information'!$A$2:$E$480,5,FALSE)</f>
        <v>#N/A</v>
      </c>
      <c r="B1598" s="36" t="e">
        <f>VLOOKUP($C1598,'Variable Information'!$A$1:$C$480,3,FALSE)</f>
        <v>#N/A</v>
      </c>
      <c r="C1598" s="35"/>
      <c r="D1598" s="30" t="s">
        <v>1458</v>
      </c>
      <c r="E1598" s="15" t="s">
        <v>1669</v>
      </c>
    </row>
    <row r="1599" spans="1:5" x14ac:dyDescent="0.25">
      <c r="A1599" s="36" t="e">
        <f>VLOOKUP($C1599,'Variable Information'!$A$2:$E$480,5,FALSE)</f>
        <v>#N/A</v>
      </c>
      <c r="B1599" s="36" t="e">
        <f>VLOOKUP($C1599,'Variable Information'!$A$1:$C$480,3,FALSE)</f>
        <v>#N/A</v>
      </c>
      <c r="C1599" s="35"/>
      <c r="D1599" s="30" t="s">
        <v>1460</v>
      </c>
      <c r="E1599" s="15" t="s">
        <v>1678</v>
      </c>
    </row>
    <row r="1600" spans="1:5" x14ac:dyDescent="0.25">
      <c r="A1600" s="36" t="str">
        <f>VLOOKUP($C1600,'Variable Information'!$A$2:$E$480,5,FALSE)</f>
        <v>AJR_drm_1_e</v>
      </c>
      <c r="B1600" s="36" t="str">
        <f>VLOOKUP($C1600,'Variable Information'!$A$1:$C$480,3,FALSE)</f>
        <v>Q29_1_iter01_e. Agree or Disagree - A court - The duration/length of the process was reasonable</v>
      </c>
      <c r="C1600" s="35" t="s">
        <v>901</v>
      </c>
      <c r="D1600" s="30" t="s">
        <v>1447</v>
      </c>
      <c r="E1600" s="15" t="s">
        <v>1674</v>
      </c>
    </row>
    <row r="1601" spans="1:5" x14ac:dyDescent="0.25">
      <c r="A1601" s="36" t="e">
        <f>VLOOKUP($C1601,'Variable Information'!$A$2:$E$480,5,FALSE)</f>
        <v>#N/A</v>
      </c>
      <c r="B1601" s="36" t="e">
        <f>VLOOKUP($C1601,'Variable Information'!$A$1:$C$480,3,FALSE)</f>
        <v>#N/A</v>
      </c>
      <c r="C1601" s="35"/>
      <c r="D1601" s="30" t="s">
        <v>1449</v>
      </c>
      <c r="E1601" s="15" t="s">
        <v>1675</v>
      </c>
    </row>
    <row r="1602" spans="1:5" x14ac:dyDescent="0.25">
      <c r="A1602" s="36" t="e">
        <f>VLOOKUP($C1602,'Variable Information'!$A$2:$E$480,5,FALSE)</f>
        <v>#N/A</v>
      </c>
      <c r="B1602" s="36" t="e">
        <f>VLOOKUP($C1602,'Variable Information'!$A$1:$C$480,3,FALSE)</f>
        <v>#N/A</v>
      </c>
      <c r="C1602" s="35"/>
      <c r="D1602" s="30" t="s">
        <v>1451</v>
      </c>
      <c r="E1602" s="15" t="s">
        <v>1676</v>
      </c>
    </row>
    <row r="1603" spans="1:5" x14ac:dyDescent="0.25">
      <c r="A1603" s="36" t="e">
        <f>VLOOKUP($C1603,'Variable Information'!$A$2:$E$480,5,FALSE)</f>
        <v>#N/A</v>
      </c>
      <c r="B1603" s="36" t="e">
        <f>VLOOKUP($C1603,'Variable Information'!$A$1:$C$480,3,FALSE)</f>
        <v>#N/A</v>
      </c>
      <c r="C1603" s="35"/>
      <c r="D1603" s="30" t="s">
        <v>1456</v>
      </c>
      <c r="E1603" s="15" t="s">
        <v>1677</v>
      </c>
    </row>
    <row r="1604" spans="1:5" x14ac:dyDescent="0.25">
      <c r="A1604" s="36" t="e">
        <f>VLOOKUP($C1604,'Variable Information'!$A$2:$E$480,5,FALSE)</f>
        <v>#N/A</v>
      </c>
      <c r="B1604" s="36" t="e">
        <f>VLOOKUP($C1604,'Variable Information'!$A$1:$C$480,3,FALSE)</f>
        <v>#N/A</v>
      </c>
      <c r="C1604" s="35"/>
      <c r="D1604" s="30" t="s">
        <v>1458</v>
      </c>
      <c r="E1604" s="15" t="s">
        <v>1669</v>
      </c>
    </row>
    <row r="1605" spans="1:5" x14ac:dyDescent="0.25">
      <c r="A1605" s="36" t="e">
        <f>VLOOKUP($C1605,'Variable Information'!$A$2:$E$480,5,FALSE)</f>
        <v>#N/A</v>
      </c>
      <c r="B1605" s="36" t="e">
        <f>VLOOKUP($C1605,'Variable Information'!$A$1:$C$480,3,FALSE)</f>
        <v>#N/A</v>
      </c>
      <c r="C1605" s="35"/>
      <c r="D1605" s="30" t="s">
        <v>1460</v>
      </c>
      <c r="E1605" s="15" t="s">
        <v>1678</v>
      </c>
    </row>
    <row r="1606" spans="1:5" x14ac:dyDescent="0.25">
      <c r="A1606" s="36" t="str">
        <f>VLOOKUP($C1606,'Variable Information'!$A$2:$E$480,5,FALSE)</f>
        <v>AJR_drm_1_f</v>
      </c>
      <c r="B1606" s="36" t="str">
        <f>VLOOKUP($C1606,'Variable Information'!$A$1:$C$480,3,FALSE)</f>
        <v>Q29_1_iter01_f. Agree or Disagree - A court - The process was fair</v>
      </c>
      <c r="C1606" s="35" t="s">
        <v>904</v>
      </c>
      <c r="D1606" s="30" t="s">
        <v>1447</v>
      </c>
      <c r="E1606" s="15" t="s">
        <v>1674</v>
      </c>
    </row>
    <row r="1607" spans="1:5" x14ac:dyDescent="0.25">
      <c r="A1607" s="36" t="e">
        <f>VLOOKUP($C1607,'Variable Information'!$A$2:$E$480,5,FALSE)</f>
        <v>#N/A</v>
      </c>
      <c r="B1607" s="36" t="e">
        <f>VLOOKUP($C1607,'Variable Information'!$A$1:$C$480,3,FALSE)</f>
        <v>#N/A</v>
      </c>
      <c r="C1607" s="35"/>
      <c r="D1607" s="30" t="s">
        <v>1449</v>
      </c>
      <c r="E1607" s="15" t="s">
        <v>1675</v>
      </c>
    </row>
    <row r="1608" spans="1:5" x14ac:dyDescent="0.25">
      <c r="A1608" s="36" t="e">
        <f>VLOOKUP($C1608,'Variable Information'!$A$2:$E$480,5,FALSE)</f>
        <v>#N/A</v>
      </c>
      <c r="B1608" s="36" t="e">
        <f>VLOOKUP($C1608,'Variable Information'!$A$1:$C$480,3,FALSE)</f>
        <v>#N/A</v>
      </c>
      <c r="C1608" s="35"/>
      <c r="D1608" s="30" t="s">
        <v>1451</v>
      </c>
      <c r="E1608" s="15" t="s">
        <v>1676</v>
      </c>
    </row>
    <row r="1609" spans="1:5" x14ac:dyDescent="0.25">
      <c r="A1609" s="36" t="e">
        <f>VLOOKUP($C1609,'Variable Information'!$A$2:$E$480,5,FALSE)</f>
        <v>#N/A</v>
      </c>
      <c r="B1609" s="36" t="e">
        <f>VLOOKUP($C1609,'Variable Information'!$A$1:$C$480,3,FALSE)</f>
        <v>#N/A</v>
      </c>
      <c r="C1609" s="35"/>
      <c r="D1609" s="30" t="s">
        <v>1456</v>
      </c>
      <c r="E1609" s="15" t="s">
        <v>1677</v>
      </c>
    </row>
    <row r="1610" spans="1:5" x14ac:dyDescent="0.25">
      <c r="A1610" s="36" t="e">
        <f>VLOOKUP($C1610,'Variable Information'!$A$2:$E$480,5,FALSE)</f>
        <v>#N/A</v>
      </c>
      <c r="B1610" s="36" t="e">
        <f>VLOOKUP($C1610,'Variable Information'!$A$1:$C$480,3,FALSE)</f>
        <v>#N/A</v>
      </c>
      <c r="C1610" s="35"/>
      <c r="D1610" s="30" t="s">
        <v>1458</v>
      </c>
      <c r="E1610" s="15" t="s">
        <v>1669</v>
      </c>
    </row>
    <row r="1611" spans="1:5" x14ac:dyDescent="0.25">
      <c r="A1611" s="36" t="e">
        <f>VLOOKUP($C1611,'Variable Information'!$A$2:$E$480,5,FALSE)</f>
        <v>#N/A</v>
      </c>
      <c r="B1611" s="36" t="e">
        <f>VLOOKUP($C1611,'Variable Information'!$A$1:$C$480,3,FALSE)</f>
        <v>#N/A</v>
      </c>
      <c r="C1611" s="35"/>
      <c r="D1611" s="30" t="s">
        <v>1460</v>
      </c>
      <c r="E1611" s="15" t="s">
        <v>1678</v>
      </c>
    </row>
    <row r="1612" spans="1:5" x14ac:dyDescent="0.25">
      <c r="A1612" s="36" t="str">
        <f>VLOOKUP($C1612,'Variable Information'!$A$2:$E$480,5,FALSE)</f>
        <v>AJR_drm_1_g</v>
      </c>
      <c r="B1612" s="36" t="str">
        <f>VLOOKUP($C1612,'Variable Information'!$A$1:$C$480,3,FALSE)</f>
        <v>Q29_1_iter01_g. Agree or Disagree - A court - The outcome was fair</v>
      </c>
      <c r="C1612" s="35" t="s">
        <v>908</v>
      </c>
      <c r="D1612" s="30" t="s">
        <v>1447</v>
      </c>
      <c r="E1612" s="15" t="s">
        <v>1674</v>
      </c>
    </row>
    <row r="1613" spans="1:5" x14ac:dyDescent="0.25">
      <c r="A1613" s="36" t="e">
        <f>VLOOKUP($C1613,'Variable Information'!$A$2:$E$480,5,FALSE)</f>
        <v>#N/A</v>
      </c>
      <c r="B1613" s="36" t="e">
        <f>VLOOKUP($C1613,'Variable Information'!$A$1:$C$480,3,FALSE)</f>
        <v>#N/A</v>
      </c>
      <c r="C1613" s="35"/>
      <c r="D1613" s="30" t="s">
        <v>1449</v>
      </c>
      <c r="E1613" s="15" t="s">
        <v>1675</v>
      </c>
    </row>
    <row r="1614" spans="1:5" x14ac:dyDescent="0.25">
      <c r="A1614" s="36" t="e">
        <f>VLOOKUP($C1614,'Variable Information'!$A$2:$E$480,5,FALSE)</f>
        <v>#N/A</v>
      </c>
      <c r="B1614" s="36" t="e">
        <f>VLOOKUP($C1614,'Variable Information'!$A$1:$C$480,3,FALSE)</f>
        <v>#N/A</v>
      </c>
      <c r="C1614" s="35"/>
      <c r="D1614" s="30" t="s">
        <v>1451</v>
      </c>
      <c r="E1614" s="15" t="s">
        <v>1676</v>
      </c>
    </row>
    <row r="1615" spans="1:5" x14ac:dyDescent="0.25">
      <c r="A1615" s="36" t="e">
        <f>VLOOKUP($C1615,'Variable Information'!$A$2:$E$480,5,FALSE)</f>
        <v>#N/A</v>
      </c>
      <c r="B1615" s="36" t="e">
        <f>VLOOKUP($C1615,'Variable Information'!$A$1:$C$480,3,FALSE)</f>
        <v>#N/A</v>
      </c>
      <c r="C1615" s="35"/>
      <c r="D1615" s="30" t="s">
        <v>1456</v>
      </c>
      <c r="E1615" s="15" t="s">
        <v>1677</v>
      </c>
    </row>
    <row r="1616" spans="1:5" x14ac:dyDescent="0.25">
      <c r="A1616" s="36" t="e">
        <f>VLOOKUP($C1616,'Variable Information'!$A$2:$E$480,5,FALSE)</f>
        <v>#N/A</v>
      </c>
      <c r="B1616" s="36" t="e">
        <f>VLOOKUP($C1616,'Variable Information'!$A$1:$C$480,3,FALSE)</f>
        <v>#N/A</v>
      </c>
      <c r="C1616" s="35"/>
      <c r="D1616" s="30" t="s">
        <v>1458</v>
      </c>
      <c r="E1616" s="15" t="s">
        <v>1669</v>
      </c>
    </row>
    <row r="1617" spans="1:5" x14ac:dyDescent="0.25">
      <c r="A1617" s="36" t="e">
        <f>VLOOKUP($C1617,'Variable Information'!$A$2:$E$480,5,FALSE)</f>
        <v>#N/A</v>
      </c>
      <c r="B1617" s="36" t="e">
        <f>VLOOKUP($C1617,'Variable Information'!$A$1:$C$480,3,FALSE)</f>
        <v>#N/A</v>
      </c>
      <c r="C1617" s="35"/>
      <c r="D1617" s="30" t="s">
        <v>1460</v>
      </c>
      <c r="E1617" s="15" t="s">
        <v>1678</v>
      </c>
    </row>
    <row r="1618" spans="1:5" x14ac:dyDescent="0.25">
      <c r="A1618" s="36" t="str">
        <f>VLOOKUP($C1618,'Variable Information'!$A$2:$E$480,5,FALSE)</f>
        <v>AJR_drm_1_h</v>
      </c>
      <c r="B1618" s="36" t="str">
        <f>VLOOKUP($C1618,'Variable Information'!$A$1:$C$480,3,FALSE)</f>
        <v>Q29_1_iter01_h. Agree or Disagree - A court - &lt;&gt; was helpful</v>
      </c>
      <c r="C1618" s="35" t="s">
        <v>911</v>
      </c>
      <c r="D1618" s="30" t="s">
        <v>1447</v>
      </c>
      <c r="E1618" s="15" t="s">
        <v>1674</v>
      </c>
    </row>
    <row r="1619" spans="1:5" x14ac:dyDescent="0.25">
      <c r="A1619" s="36" t="e">
        <f>VLOOKUP($C1619,'Variable Information'!$A$2:$E$480,5,FALSE)</f>
        <v>#N/A</v>
      </c>
      <c r="B1619" s="36" t="e">
        <f>VLOOKUP($C1619,'Variable Information'!$A$1:$C$480,3,FALSE)</f>
        <v>#N/A</v>
      </c>
      <c r="C1619" s="35"/>
      <c r="D1619" s="30" t="s">
        <v>1449</v>
      </c>
      <c r="E1619" s="15" t="s">
        <v>1675</v>
      </c>
    </row>
    <row r="1620" spans="1:5" x14ac:dyDescent="0.25">
      <c r="A1620" s="36" t="e">
        <f>VLOOKUP($C1620,'Variable Information'!$A$2:$E$480,5,FALSE)</f>
        <v>#N/A</v>
      </c>
      <c r="B1620" s="36" t="e">
        <f>VLOOKUP($C1620,'Variable Information'!$A$1:$C$480,3,FALSE)</f>
        <v>#N/A</v>
      </c>
      <c r="C1620" s="35"/>
      <c r="D1620" s="30" t="s">
        <v>1451</v>
      </c>
      <c r="E1620" s="15" t="s">
        <v>1676</v>
      </c>
    </row>
    <row r="1621" spans="1:5" x14ac:dyDescent="0.25">
      <c r="A1621" s="36" t="e">
        <f>VLOOKUP($C1621,'Variable Information'!$A$2:$E$480,5,FALSE)</f>
        <v>#N/A</v>
      </c>
      <c r="B1621" s="36" t="e">
        <f>VLOOKUP($C1621,'Variable Information'!$A$1:$C$480,3,FALSE)</f>
        <v>#N/A</v>
      </c>
      <c r="C1621" s="35"/>
      <c r="D1621" s="30" t="s">
        <v>1456</v>
      </c>
      <c r="E1621" s="15" t="s">
        <v>1677</v>
      </c>
    </row>
    <row r="1622" spans="1:5" x14ac:dyDescent="0.25">
      <c r="A1622" s="36" t="e">
        <f>VLOOKUP($C1622,'Variable Information'!$A$2:$E$480,5,FALSE)</f>
        <v>#N/A</v>
      </c>
      <c r="B1622" s="36" t="e">
        <f>VLOOKUP($C1622,'Variable Information'!$A$1:$C$480,3,FALSE)</f>
        <v>#N/A</v>
      </c>
      <c r="C1622" s="35"/>
      <c r="D1622" s="30" t="s">
        <v>1458</v>
      </c>
      <c r="E1622" s="15" t="s">
        <v>1669</v>
      </c>
    </row>
    <row r="1623" spans="1:5" x14ac:dyDescent="0.25">
      <c r="A1623" s="36" t="e">
        <f>VLOOKUP($C1623,'Variable Information'!$A$2:$E$480,5,FALSE)</f>
        <v>#N/A</v>
      </c>
      <c r="B1623" s="36" t="e">
        <f>VLOOKUP($C1623,'Variable Information'!$A$1:$C$480,3,FALSE)</f>
        <v>#N/A</v>
      </c>
      <c r="C1623" s="35"/>
      <c r="D1623" s="30" t="s">
        <v>1460</v>
      </c>
      <c r="E1623" s="15" t="s">
        <v>1678</v>
      </c>
    </row>
    <row r="1624" spans="1:5" x14ac:dyDescent="0.25">
      <c r="A1624" s="36" t="str">
        <f>VLOOKUP($C1624,'Variable Information'!$A$2:$E$480,5,FALSE)</f>
        <v>AJR_drm_1_i</v>
      </c>
      <c r="B1624" s="36" t="str">
        <f>VLOOKUP($C1624,'Variable Information'!$A$1:$C$480,3,FALSE)</f>
        <v>Q29_1_iter01_i. Agree or Disagree - A court - &lt;&gt; took my concerns and experiences seriously</v>
      </c>
      <c r="C1624" s="35" t="s">
        <v>914</v>
      </c>
      <c r="D1624" s="30" t="s">
        <v>1447</v>
      </c>
      <c r="E1624" s="15" t="s">
        <v>1674</v>
      </c>
    </row>
    <row r="1625" spans="1:5" x14ac:dyDescent="0.25">
      <c r="A1625" s="36" t="e">
        <f>VLOOKUP($C1625,'Variable Information'!$A$2:$E$480,5,FALSE)</f>
        <v>#N/A</v>
      </c>
      <c r="B1625" s="36" t="e">
        <f>VLOOKUP($C1625,'Variable Information'!$A$1:$C$480,3,FALSE)</f>
        <v>#N/A</v>
      </c>
      <c r="C1625" s="35"/>
      <c r="D1625" s="30" t="s">
        <v>1449</v>
      </c>
      <c r="E1625" s="15" t="s">
        <v>1675</v>
      </c>
    </row>
    <row r="1626" spans="1:5" x14ac:dyDescent="0.25">
      <c r="A1626" s="36" t="e">
        <f>VLOOKUP($C1626,'Variable Information'!$A$2:$E$480,5,FALSE)</f>
        <v>#N/A</v>
      </c>
      <c r="B1626" s="36" t="e">
        <f>VLOOKUP($C1626,'Variable Information'!$A$1:$C$480,3,FALSE)</f>
        <v>#N/A</v>
      </c>
      <c r="C1626" s="35"/>
      <c r="D1626" s="30" t="s">
        <v>1451</v>
      </c>
      <c r="E1626" s="15" t="s">
        <v>1676</v>
      </c>
    </row>
    <row r="1627" spans="1:5" x14ac:dyDescent="0.25">
      <c r="A1627" s="36" t="e">
        <f>VLOOKUP($C1627,'Variable Information'!$A$2:$E$480,5,FALSE)</f>
        <v>#N/A</v>
      </c>
      <c r="B1627" s="36" t="e">
        <f>VLOOKUP($C1627,'Variable Information'!$A$1:$C$480,3,FALSE)</f>
        <v>#N/A</v>
      </c>
      <c r="C1627" s="35"/>
      <c r="D1627" s="30" t="s">
        <v>1456</v>
      </c>
      <c r="E1627" s="15" t="s">
        <v>1677</v>
      </c>
    </row>
    <row r="1628" spans="1:5" x14ac:dyDescent="0.25">
      <c r="A1628" s="36" t="e">
        <f>VLOOKUP($C1628,'Variable Information'!$A$2:$E$480,5,FALSE)</f>
        <v>#N/A</v>
      </c>
      <c r="B1628" s="36" t="e">
        <f>VLOOKUP($C1628,'Variable Information'!$A$1:$C$480,3,FALSE)</f>
        <v>#N/A</v>
      </c>
      <c r="C1628" s="35"/>
      <c r="D1628" s="30" t="s">
        <v>1458</v>
      </c>
      <c r="E1628" s="15" t="s">
        <v>1669</v>
      </c>
    </row>
    <row r="1629" spans="1:5" x14ac:dyDescent="0.25">
      <c r="A1629" s="36" t="e">
        <f>VLOOKUP($C1629,'Variable Information'!$A$2:$E$480,5,FALSE)</f>
        <v>#N/A</v>
      </c>
      <c r="B1629" s="36" t="e">
        <f>VLOOKUP($C1629,'Variable Information'!$A$1:$C$480,3,FALSE)</f>
        <v>#N/A</v>
      </c>
      <c r="C1629" s="35"/>
      <c r="D1629" s="30" t="s">
        <v>1460</v>
      </c>
      <c r="E1629" s="15" t="s">
        <v>1678</v>
      </c>
    </row>
    <row r="1630" spans="1:5" x14ac:dyDescent="0.25">
      <c r="A1630" s="36" t="str">
        <f>VLOOKUP($C1630,'Variable Information'!$A$2:$E$480,5,FALSE)</f>
        <v>AJR_drm_2_a</v>
      </c>
      <c r="B1630" s="36" t="str">
        <f>VLOOKUP($C1630,'Variable Information'!$A$1:$C$480,3,FALSE)</f>
        <v>Q29_1_iter02_a. Agree or Disagree - A tribunal - Both parties had the same opportunity to explain their position</v>
      </c>
      <c r="C1630" s="35" t="s">
        <v>917</v>
      </c>
      <c r="D1630" s="30" t="s">
        <v>1447</v>
      </c>
      <c r="E1630" s="15" t="s">
        <v>1674</v>
      </c>
    </row>
    <row r="1631" spans="1:5" x14ac:dyDescent="0.25">
      <c r="A1631" s="36" t="e">
        <f>VLOOKUP($C1631,'Variable Information'!$A$2:$E$480,5,FALSE)</f>
        <v>#N/A</v>
      </c>
      <c r="B1631" s="36" t="e">
        <f>VLOOKUP($C1631,'Variable Information'!$A$1:$C$480,3,FALSE)</f>
        <v>#N/A</v>
      </c>
      <c r="C1631" s="35"/>
      <c r="D1631" s="30" t="s">
        <v>1449</v>
      </c>
      <c r="E1631" s="15" t="s">
        <v>1675</v>
      </c>
    </row>
    <row r="1632" spans="1:5" x14ac:dyDescent="0.25">
      <c r="A1632" s="36" t="e">
        <f>VLOOKUP($C1632,'Variable Information'!$A$2:$E$480,5,FALSE)</f>
        <v>#N/A</v>
      </c>
      <c r="B1632" s="36" t="e">
        <f>VLOOKUP($C1632,'Variable Information'!$A$1:$C$480,3,FALSE)</f>
        <v>#N/A</v>
      </c>
      <c r="C1632" s="35"/>
      <c r="D1632" s="30" t="s">
        <v>1451</v>
      </c>
      <c r="E1632" s="15" t="s">
        <v>1676</v>
      </c>
    </row>
    <row r="1633" spans="1:5" x14ac:dyDescent="0.25">
      <c r="A1633" s="36" t="e">
        <f>VLOOKUP($C1633,'Variable Information'!$A$2:$E$480,5,FALSE)</f>
        <v>#N/A</v>
      </c>
      <c r="B1633" s="36" t="e">
        <f>VLOOKUP($C1633,'Variable Information'!$A$1:$C$480,3,FALSE)</f>
        <v>#N/A</v>
      </c>
      <c r="C1633" s="35"/>
      <c r="D1633" s="30" t="s">
        <v>1456</v>
      </c>
      <c r="E1633" s="15" t="s">
        <v>1677</v>
      </c>
    </row>
    <row r="1634" spans="1:5" x14ac:dyDescent="0.25">
      <c r="A1634" s="36" t="e">
        <f>VLOOKUP($C1634,'Variable Information'!$A$2:$E$480,5,FALSE)</f>
        <v>#N/A</v>
      </c>
      <c r="B1634" s="36" t="e">
        <f>VLOOKUP($C1634,'Variable Information'!$A$1:$C$480,3,FALSE)</f>
        <v>#N/A</v>
      </c>
      <c r="C1634" s="35"/>
      <c r="D1634" s="30" t="s">
        <v>1458</v>
      </c>
      <c r="E1634" s="15" t="s">
        <v>1669</v>
      </c>
    </row>
    <row r="1635" spans="1:5" x14ac:dyDescent="0.25">
      <c r="A1635" s="36" t="e">
        <f>VLOOKUP($C1635,'Variable Information'!$A$2:$E$480,5,FALSE)</f>
        <v>#N/A</v>
      </c>
      <c r="B1635" s="36" t="e">
        <f>VLOOKUP($C1635,'Variable Information'!$A$1:$C$480,3,FALSE)</f>
        <v>#N/A</v>
      </c>
      <c r="C1635" s="35"/>
      <c r="D1635" s="30" t="s">
        <v>1460</v>
      </c>
      <c r="E1635" s="15" t="s">
        <v>1678</v>
      </c>
    </row>
    <row r="1636" spans="1:5" x14ac:dyDescent="0.25">
      <c r="A1636" s="36" t="str">
        <f>VLOOKUP($C1636,'Variable Information'!$A$2:$E$480,5,FALSE)</f>
        <v>AJR_drm_2_b</v>
      </c>
      <c r="B1636" s="36" t="str">
        <f>VLOOKUP($C1636,'Variable Information'!$A$1:$C$480,3,FALSE)</f>
        <v>Q29_1_iter02_b. Agree or Disagree - A tribunal - The justification for the decision/outcome was clearly explained to me</v>
      </c>
      <c r="C1636" s="35" t="s">
        <v>920</v>
      </c>
      <c r="D1636" s="30" t="s">
        <v>1447</v>
      </c>
      <c r="E1636" s="15" t="s">
        <v>1674</v>
      </c>
    </row>
    <row r="1637" spans="1:5" x14ac:dyDescent="0.25">
      <c r="A1637" s="36" t="e">
        <f>VLOOKUP($C1637,'Variable Information'!$A$2:$E$480,5,FALSE)</f>
        <v>#N/A</v>
      </c>
      <c r="B1637" s="36" t="e">
        <f>VLOOKUP($C1637,'Variable Information'!$A$1:$C$480,3,FALSE)</f>
        <v>#N/A</v>
      </c>
      <c r="C1637" s="35"/>
      <c r="D1637" s="30" t="s">
        <v>1449</v>
      </c>
      <c r="E1637" s="15" t="s">
        <v>1675</v>
      </c>
    </row>
    <row r="1638" spans="1:5" x14ac:dyDescent="0.25">
      <c r="A1638" s="36" t="e">
        <f>VLOOKUP($C1638,'Variable Information'!$A$2:$E$480,5,FALSE)</f>
        <v>#N/A</v>
      </c>
      <c r="B1638" s="36" t="e">
        <f>VLOOKUP($C1638,'Variable Information'!$A$1:$C$480,3,FALSE)</f>
        <v>#N/A</v>
      </c>
      <c r="C1638" s="35"/>
      <c r="D1638" s="30" t="s">
        <v>1451</v>
      </c>
      <c r="E1638" s="15" t="s">
        <v>1676</v>
      </c>
    </row>
    <row r="1639" spans="1:5" x14ac:dyDescent="0.25">
      <c r="A1639" s="36" t="e">
        <f>VLOOKUP($C1639,'Variable Information'!$A$2:$E$480,5,FALSE)</f>
        <v>#N/A</v>
      </c>
      <c r="B1639" s="36" t="e">
        <f>VLOOKUP($C1639,'Variable Information'!$A$1:$C$480,3,FALSE)</f>
        <v>#N/A</v>
      </c>
      <c r="C1639" s="35"/>
      <c r="D1639" s="30" t="s">
        <v>1456</v>
      </c>
      <c r="E1639" s="15" t="s">
        <v>1677</v>
      </c>
    </row>
    <row r="1640" spans="1:5" x14ac:dyDescent="0.25">
      <c r="A1640" s="36" t="e">
        <f>VLOOKUP($C1640,'Variable Information'!$A$2:$E$480,5,FALSE)</f>
        <v>#N/A</v>
      </c>
      <c r="B1640" s="36" t="e">
        <f>VLOOKUP($C1640,'Variable Information'!$A$1:$C$480,3,FALSE)</f>
        <v>#N/A</v>
      </c>
      <c r="C1640" s="35"/>
      <c r="D1640" s="30" t="s">
        <v>1458</v>
      </c>
      <c r="E1640" s="15" t="s">
        <v>1669</v>
      </c>
    </row>
    <row r="1641" spans="1:5" x14ac:dyDescent="0.25">
      <c r="A1641" s="36" t="e">
        <f>VLOOKUP($C1641,'Variable Information'!$A$2:$E$480,5,FALSE)</f>
        <v>#N/A</v>
      </c>
      <c r="B1641" s="36" t="e">
        <f>VLOOKUP($C1641,'Variable Information'!$A$1:$C$480,3,FALSE)</f>
        <v>#N/A</v>
      </c>
      <c r="C1641" s="35"/>
      <c r="D1641" s="30" t="s">
        <v>1460</v>
      </c>
      <c r="E1641" s="15" t="s">
        <v>1678</v>
      </c>
    </row>
    <row r="1642" spans="1:5" x14ac:dyDescent="0.25">
      <c r="A1642" s="36" t="str">
        <f>VLOOKUP($C1642,'Variable Information'!$A$2:$E$480,5,FALSE)</f>
        <v>AJR_drm_2_c</v>
      </c>
      <c r="B1642" s="36" t="str">
        <f>VLOOKUP($C1642,'Variable Information'!$A$1:$C$480,3,FALSE)</f>
        <v>Q29_1_iter02_c. Agree or Disagree - A tribunal - The process was efficient</v>
      </c>
      <c r="C1642" s="35" t="s">
        <v>923</v>
      </c>
      <c r="D1642" s="30" t="s">
        <v>1447</v>
      </c>
      <c r="E1642" s="15" t="s">
        <v>1674</v>
      </c>
    </row>
    <row r="1643" spans="1:5" x14ac:dyDescent="0.25">
      <c r="A1643" s="36" t="e">
        <f>VLOOKUP($C1643,'Variable Information'!$A$2:$E$480,5,FALSE)</f>
        <v>#N/A</v>
      </c>
      <c r="B1643" s="36" t="e">
        <f>VLOOKUP($C1643,'Variable Information'!$A$1:$C$480,3,FALSE)</f>
        <v>#N/A</v>
      </c>
      <c r="C1643" s="35"/>
      <c r="D1643" s="30" t="s">
        <v>1449</v>
      </c>
      <c r="E1643" s="15" t="s">
        <v>1675</v>
      </c>
    </row>
    <row r="1644" spans="1:5" x14ac:dyDescent="0.25">
      <c r="A1644" s="36" t="e">
        <f>VLOOKUP($C1644,'Variable Information'!$A$2:$E$480,5,FALSE)</f>
        <v>#N/A</v>
      </c>
      <c r="B1644" s="36" t="e">
        <f>VLOOKUP($C1644,'Variable Information'!$A$1:$C$480,3,FALSE)</f>
        <v>#N/A</v>
      </c>
      <c r="C1644" s="35"/>
      <c r="D1644" s="30" t="s">
        <v>1451</v>
      </c>
      <c r="E1644" s="15" t="s">
        <v>1676</v>
      </c>
    </row>
    <row r="1645" spans="1:5" x14ac:dyDescent="0.25">
      <c r="A1645" s="36" t="e">
        <f>VLOOKUP($C1645,'Variable Information'!$A$2:$E$480,5,FALSE)</f>
        <v>#N/A</v>
      </c>
      <c r="B1645" s="36" t="e">
        <f>VLOOKUP($C1645,'Variable Information'!$A$1:$C$480,3,FALSE)</f>
        <v>#N/A</v>
      </c>
      <c r="C1645" s="35"/>
      <c r="D1645" s="30" t="s">
        <v>1456</v>
      </c>
      <c r="E1645" s="15" t="s">
        <v>1677</v>
      </c>
    </row>
    <row r="1646" spans="1:5" x14ac:dyDescent="0.25">
      <c r="A1646" s="36" t="e">
        <f>VLOOKUP($C1646,'Variable Information'!$A$2:$E$480,5,FALSE)</f>
        <v>#N/A</v>
      </c>
      <c r="B1646" s="36" t="e">
        <f>VLOOKUP($C1646,'Variable Information'!$A$1:$C$480,3,FALSE)</f>
        <v>#N/A</v>
      </c>
      <c r="C1646" s="35"/>
      <c r="D1646" s="30" t="s">
        <v>1458</v>
      </c>
      <c r="E1646" s="15" t="s">
        <v>1669</v>
      </c>
    </row>
    <row r="1647" spans="1:5" x14ac:dyDescent="0.25">
      <c r="A1647" s="36" t="e">
        <f>VLOOKUP($C1647,'Variable Information'!$A$2:$E$480,5,FALSE)</f>
        <v>#N/A</v>
      </c>
      <c r="B1647" s="36" t="e">
        <f>VLOOKUP($C1647,'Variable Information'!$A$1:$C$480,3,FALSE)</f>
        <v>#N/A</v>
      </c>
      <c r="C1647" s="35"/>
      <c r="D1647" s="30" t="s">
        <v>1460</v>
      </c>
      <c r="E1647" s="15" t="s">
        <v>1678</v>
      </c>
    </row>
    <row r="1648" spans="1:5" x14ac:dyDescent="0.25">
      <c r="A1648" s="36" t="str">
        <f>VLOOKUP($C1648,'Variable Information'!$A$2:$E$480,5,FALSE)</f>
        <v>AJR_drm_2_d</v>
      </c>
      <c r="B1648" s="36" t="str">
        <f>VLOOKUP($C1648,'Variable Information'!$A$1:$C$480,3,FALSE)</f>
        <v>Q29_1_iter02_d. Agree or Disagree - A tribunal - The process was affordable</v>
      </c>
      <c r="C1648" s="35" t="s">
        <v>926</v>
      </c>
      <c r="D1648" s="30" t="s">
        <v>1447</v>
      </c>
      <c r="E1648" s="15" t="s">
        <v>1674</v>
      </c>
    </row>
    <row r="1649" spans="1:5" x14ac:dyDescent="0.25">
      <c r="A1649" s="36" t="e">
        <f>VLOOKUP($C1649,'Variable Information'!$A$2:$E$480,5,FALSE)</f>
        <v>#N/A</v>
      </c>
      <c r="B1649" s="36" t="e">
        <f>VLOOKUP($C1649,'Variable Information'!$A$1:$C$480,3,FALSE)</f>
        <v>#N/A</v>
      </c>
      <c r="C1649" s="35"/>
      <c r="D1649" s="30" t="s">
        <v>1449</v>
      </c>
      <c r="E1649" s="15" t="s">
        <v>1675</v>
      </c>
    </row>
    <row r="1650" spans="1:5" x14ac:dyDescent="0.25">
      <c r="A1650" s="36" t="e">
        <f>VLOOKUP($C1650,'Variable Information'!$A$2:$E$480,5,FALSE)</f>
        <v>#N/A</v>
      </c>
      <c r="B1650" s="36" t="e">
        <f>VLOOKUP($C1650,'Variable Information'!$A$1:$C$480,3,FALSE)</f>
        <v>#N/A</v>
      </c>
      <c r="C1650" s="35"/>
      <c r="D1650" s="30" t="s">
        <v>1451</v>
      </c>
      <c r="E1650" s="15" t="s">
        <v>1676</v>
      </c>
    </row>
    <row r="1651" spans="1:5" x14ac:dyDescent="0.25">
      <c r="A1651" s="36" t="e">
        <f>VLOOKUP($C1651,'Variable Information'!$A$2:$E$480,5,FALSE)</f>
        <v>#N/A</v>
      </c>
      <c r="B1651" s="36" t="e">
        <f>VLOOKUP($C1651,'Variable Information'!$A$1:$C$480,3,FALSE)</f>
        <v>#N/A</v>
      </c>
      <c r="C1651" s="35"/>
      <c r="D1651" s="30" t="s">
        <v>1456</v>
      </c>
      <c r="E1651" s="15" t="s">
        <v>1677</v>
      </c>
    </row>
    <row r="1652" spans="1:5" x14ac:dyDescent="0.25">
      <c r="A1652" s="36" t="e">
        <f>VLOOKUP($C1652,'Variable Information'!$A$2:$E$480,5,FALSE)</f>
        <v>#N/A</v>
      </c>
      <c r="B1652" s="36" t="e">
        <f>VLOOKUP($C1652,'Variable Information'!$A$1:$C$480,3,FALSE)</f>
        <v>#N/A</v>
      </c>
      <c r="C1652" s="35"/>
      <c r="D1652" s="30" t="s">
        <v>1458</v>
      </c>
      <c r="E1652" s="15" t="s">
        <v>1669</v>
      </c>
    </row>
    <row r="1653" spans="1:5" x14ac:dyDescent="0.25">
      <c r="A1653" s="36" t="e">
        <f>VLOOKUP($C1653,'Variable Information'!$A$2:$E$480,5,FALSE)</f>
        <v>#N/A</v>
      </c>
      <c r="B1653" s="36" t="e">
        <f>VLOOKUP($C1653,'Variable Information'!$A$1:$C$480,3,FALSE)</f>
        <v>#N/A</v>
      </c>
      <c r="C1653" s="35"/>
      <c r="D1653" s="30" t="s">
        <v>1460</v>
      </c>
      <c r="E1653" s="15" t="s">
        <v>1678</v>
      </c>
    </row>
    <row r="1654" spans="1:5" x14ac:dyDescent="0.25">
      <c r="A1654" s="36" t="str">
        <f>VLOOKUP($C1654,'Variable Information'!$A$2:$E$480,5,FALSE)</f>
        <v>AJR_drm_2_e</v>
      </c>
      <c r="B1654" s="36" t="str">
        <f>VLOOKUP($C1654,'Variable Information'!$A$1:$C$480,3,FALSE)</f>
        <v>Q29_1_iter02_e. Agree or Disagree - A tribunal - The duration/length of the process was reasonable</v>
      </c>
      <c r="C1654" s="35" t="s">
        <v>929</v>
      </c>
      <c r="D1654" s="30" t="s">
        <v>1447</v>
      </c>
      <c r="E1654" s="15" t="s">
        <v>1674</v>
      </c>
    </row>
    <row r="1655" spans="1:5" x14ac:dyDescent="0.25">
      <c r="A1655" s="36" t="e">
        <f>VLOOKUP($C1655,'Variable Information'!$A$2:$E$480,5,FALSE)</f>
        <v>#N/A</v>
      </c>
      <c r="B1655" s="36" t="e">
        <f>VLOOKUP($C1655,'Variable Information'!$A$1:$C$480,3,FALSE)</f>
        <v>#N/A</v>
      </c>
      <c r="C1655" s="35"/>
      <c r="D1655" s="30" t="s">
        <v>1449</v>
      </c>
      <c r="E1655" s="15" t="s">
        <v>1675</v>
      </c>
    </row>
    <row r="1656" spans="1:5" x14ac:dyDescent="0.25">
      <c r="A1656" s="36" t="e">
        <f>VLOOKUP($C1656,'Variable Information'!$A$2:$E$480,5,FALSE)</f>
        <v>#N/A</v>
      </c>
      <c r="B1656" s="36" t="e">
        <f>VLOOKUP($C1656,'Variable Information'!$A$1:$C$480,3,FALSE)</f>
        <v>#N/A</v>
      </c>
      <c r="C1656" s="35"/>
      <c r="D1656" s="30" t="s">
        <v>1451</v>
      </c>
      <c r="E1656" s="15" t="s">
        <v>1676</v>
      </c>
    </row>
    <row r="1657" spans="1:5" x14ac:dyDescent="0.25">
      <c r="A1657" s="36" t="e">
        <f>VLOOKUP($C1657,'Variable Information'!$A$2:$E$480,5,FALSE)</f>
        <v>#N/A</v>
      </c>
      <c r="B1657" s="36" t="e">
        <f>VLOOKUP($C1657,'Variable Information'!$A$1:$C$480,3,FALSE)</f>
        <v>#N/A</v>
      </c>
      <c r="C1657" s="35"/>
      <c r="D1657" s="30" t="s">
        <v>1456</v>
      </c>
      <c r="E1657" s="15" t="s">
        <v>1677</v>
      </c>
    </row>
    <row r="1658" spans="1:5" x14ac:dyDescent="0.25">
      <c r="A1658" s="36" t="e">
        <f>VLOOKUP($C1658,'Variable Information'!$A$2:$E$480,5,FALSE)</f>
        <v>#N/A</v>
      </c>
      <c r="B1658" s="36" t="e">
        <f>VLOOKUP($C1658,'Variable Information'!$A$1:$C$480,3,FALSE)</f>
        <v>#N/A</v>
      </c>
      <c r="C1658" s="35"/>
      <c r="D1658" s="30" t="s">
        <v>1458</v>
      </c>
      <c r="E1658" s="15" t="s">
        <v>1669</v>
      </c>
    </row>
    <row r="1659" spans="1:5" x14ac:dyDescent="0.25">
      <c r="A1659" s="36" t="e">
        <f>VLOOKUP($C1659,'Variable Information'!$A$2:$E$480,5,FALSE)</f>
        <v>#N/A</v>
      </c>
      <c r="B1659" s="36" t="e">
        <f>VLOOKUP($C1659,'Variable Information'!$A$1:$C$480,3,FALSE)</f>
        <v>#N/A</v>
      </c>
      <c r="C1659" s="35"/>
      <c r="D1659" s="30" t="s">
        <v>1460</v>
      </c>
      <c r="E1659" s="15" t="s">
        <v>1678</v>
      </c>
    </row>
    <row r="1660" spans="1:5" x14ac:dyDescent="0.25">
      <c r="A1660" s="36" t="str">
        <f>VLOOKUP($C1660,'Variable Information'!$A$2:$E$480,5,FALSE)</f>
        <v>AJR_drm_2_f</v>
      </c>
      <c r="B1660" s="36" t="str">
        <f>VLOOKUP($C1660,'Variable Information'!$A$1:$C$480,3,FALSE)</f>
        <v>Q29_1_iter02_f. Agree or Disagree - A tribunal - The process was fair</v>
      </c>
      <c r="C1660" s="35" t="s">
        <v>932</v>
      </c>
      <c r="D1660" s="30" t="s">
        <v>1447</v>
      </c>
      <c r="E1660" s="15" t="s">
        <v>1674</v>
      </c>
    </row>
    <row r="1661" spans="1:5" x14ac:dyDescent="0.25">
      <c r="A1661" s="36" t="e">
        <f>VLOOKUP($C1661,'Variable Information'!$A$2:$E$480,5,FALSE)</f>
        <v>#N/A</v>
      </c>
      <c r="B1661" s="36" t="e">
        <f>VLOOKUP($C1661,'Variable Information'!$A$1:$C$480,3,FALSE)</f>
        <v>#N/A</v>
      </c>
      <c r="C1661" s="35"/>
      <c r="D1661" s="30" t="s">
        <v>1449</v>
      </c>
      <c r="E1661" s="15" t="s">
        <v>1675</v>
      </c>
    </row>
    <row r="1662" spans="1:5" x14ac:dyDescent="0.25">
      <c r="A1662" s="36" t="e">
        <f>VLOOKUP($C1662,'Variable Information'!$A$2:$E$480,5,FALSE)</f>
        <v>#N/A</v>
      </c>
      <c r="B1662" s="36" t="e">
        <f>VLOOKUP($C1662,'Variable Information'!$A$1:$C$480,3,FALSE)</f>
        <v>#N/A</v>
      </c>
      <c r="C1662" s="35"/>
      <c r="D1662" s="30" t="s">
        <v>1451</v>
      </c>
      <c r="E1662" s="15" t="s">
        <v>1676</v>
      </c>
    </row>
    <row r="1663" spans="1:5" x14ac:dyDescent="0.25">
      <c r="A1663" s="36" t="e">
        <f>VLOOKUP($C1663,'Variable Information'!$A$2:$E$480,5,FALSE)</f>
        <v>#N/A</v>
      </c>
      <c r="B1663" s="36" t="e">
        <f>VLOOKUP($C1663,'Variable Information'!$A$1:$C$480,3,FALSE)</f>
        <v>#N/A</v>
      </c>
      <c r="C1663" s="35"/>
      <c r="D1663" s="30" t="s">
        <v>1456</v>
      </c>
      <c r="E1663" s="15" t="s">
        <v>1677</v>
      </c>
    </row>
    <row r="1664" spans="1:5" x14ac:dyDescent="0.25">
      <c r="A1664" s="36" t="e">
        <f>VLOOKUP($C1664,'Variable Information'!$A$2:$E$480,5,FALSE)</f>
        <v>#N/A</v>
      </c>
      <c r="B1664" s="36" t="e">
        <f>VLOOKUP($C1664,'Variable Information'!$A$1:$C$480,3,FALSE)</f>
        <v>#N/A</v>
      </c>
      <c r="C1664" s="35"/>
      <c r="D1664" s="30" t="s">
        <v>1458</v>
      </c>
      <c r="E1664" s="15" t="s">
        <v>1669</v>
      </c>
    </row>
    <row r="1665" spans="1:5" x14ac:dyDescent="0.25">
      <c r="A1665" s="36" t="e">
        <f>VLOOKUP($C1665,'Variable Information'!$A$2:$E$480,5,FALSE)</f>
        <v>#N/A</v>
      </c>
      <c r="B1665" s="36" t="e">
        <f>VLOOKUP($C1665,'Variable Information'!$A$1:$C$480,3,FALSE)</f>
        <v>#N/A</v>
      </c>
      <c r="C1665" s="35"/>
      <c r="D1665" s="30" t="s">
        <v>1460</v>
      </c>
      <c r="E1665" s="15" t="s">
        <v>1678</v>
      </c>
    </row>
    <row r="1666" spans="1:5" x14ac:dyDescent="0.25">
      <c r="A1666" s="36" t="str">
        <f>VLOOKUP($C1666,'Variable Information'!$A$2:$E$480,5,FALSE)</f>
        <v>AJR_drm_2_g</v>
      </c>
      <c r="B1666" s="36" t="str">
        <f>VLOOKUP($C1666,'Variable Information'!$A$1:$C$480,3,FALSE)</f>
        <v>Q29_1_iter02_g. Agree or Disagree - A tribunal - The outcome was fair</v>
      </c>
      <c r="C1666" s="35" t="s">
        <v>935</v>
      </c>
      <c r="D1666" s="30" t="s">
        <v>1447</v>
      </c>
      <c r="E1666" s="15" t="s">
        <v>1674</v>
      </c>
    </row>
    <row r="1667" spans="1:5" x14ac:dyDescent="0.25">
      <c r="A1667" s="36" t="e">
        <f>VLOOKUP($C1667,'Variable Information'!$A$2:$E$480,5,FALSE)</f>
        <v>#N/A</v>
      </c>
      <c r="B1667" s="36" t="e">
        <f>VLOOKUP($C1667,'Variable Information'!$A$1:$C$480,3,FALSE)</f>
        <v>#N/A</v>
      </c>
      <c r="C1667" s="35"/>
      <c r="D1667" s="30" t="s">
        <v>1449</v>
      </c>
      <c r="E1667" s="15" t="s">
        <v>1675</v>
      </c>
    </row>
    <row r="1668" spans="1:5" x14ac:dyDescent="0.25">
      <c r="A1668" s="36" t="e">
        <f>VLOOKUP($C1668,'Variable Information'!$A$2:$E$480,5,FALSE)</f>
        <v>#N/A</v>
      </c>
      <c r="B1668" s="36" t="e">
        <f>VLOOKUP($C1668,'Variable Information'!$A$1:$C$480,3,FALSE)</f>
        <v>#N/A</v>
      </c>
      <c r="C1668" s="35"/>
      <c r="D1668" s="30" t="s">
        <v>1451</v>
      </c>
      <c r="E1668" s="15" t="s">
        <v>1676</v>
      </c>
    </row>
    <row r="1669" spans="1:5" x14ac:dyDescent="0.25">
      <c r="A1669" s="36" t="e">
        <f>VLOOKUP($C1669,'Variable Information'!$A$2:$E$480,5,FALSE)</f>
        <v>#N/A</v>
      </c>
      <c r="B1669" s="36" t="e">
        <f>VLOOKUP($C1669,'Variable Information'!$A$1:$C$480,3,FALSE)</f>
        <v>#N/A</v>
      </c>
      <c r="C1669" s="35"/>
      <c r="D1669" s="30" t="s">
        <v>1456</v>
      </c>
      <c r="E1669" s="15" t="s">
        <v>1677</v>
      </c>
    </row>
    <row r="1670" spans="1:5" x14ac:dyDescent="0.25">
      <c r="A1670" s="36" t="e">
        <f>VLOOKUP($C1670,'Variable Information'!$A$2:$E$480,5,FALSE)</f>
        <v>#N/A</v>
      </c>
      <c r="B1670" s="36" t="e">
        <f>VLOOKUP($C1670,'Variable Information'!$A$1:$C$480,3,FALSE)</f>
        <v>#N/A</v>
      </c>
      <c r="C1670" s="35"/>
      <c r="D1670" s="30" t="s">
        <v>1458</v>
      </c>
      <c r="E1670" s="15" t="s">
        <v>1669</v>
      </c>
    </row>
    <row r="1671" spans="1:5" x14ac:dyDescent="0.25">
      <c r="A1671" s="36" t="e">
        <f>VLOOKUP($C1671,'Variable Information'!$A$2:$E$480,5,FALSE)</f>
        <v>#N/A</v>
      </c>
      <c r="B1671" s="36" t="e">
        <f>VLOOKUP($C1671,'Variable Information'!$A$1:$C$480,3,FALSE)</f>
        <v>#N/A</v>
      </c>
      <c r="C1671" s="35"/>
      <c r="D1671" s="30" t="s">
        <v>1460</v>
      </c>
      <c r="E1671" s="15" t="s">
        <v>1678</v>
      </c>
    </row>
    <row r="1672" spans="1:5" x14ac:dyDescent="0.25">
      <c r="A1672" s="36" t="str">
        <f>VLOOKUP($C1672,'Variable Information'!$A$2:$E$480,5,FALSE)</f>
        <v>AJR_drm_2_h</v>
      </c>
      <c r="B1672" s="36" t="str">
        <f>VLOOKUP($C1672,'Variable Information'!$A$1:$C$480,3,FALSE)</f>
        <v>Q29_1_iter02_h. Agree or Disagree - A tribunal - &lt;&gt; was helpful</v>
      </c>
      <c r="C1672" s="35" t="s">
        <v>938</v>
      </c>
      <c r="D1672" s="30" t="s">
        <v>1447</v>
      </c>
      <c r="E1672" s="15" t="s">
        <v>1674</v>
      </c>
    </row>
    <row r="1673" spans="1:5" x14ac:dyDescent="0.25">
      <c r="A1673" s="36" t="e">
        <f>VLOOKUP($C1673,'Variable Information'!$A$2:$E$480,5,FALSE)</f>
        <v>#N/A</v>
      </c>
      <c r="B1673" s="36" t="e">
        <f>VLOOKUP($C1673,'Variable Information'!$A$1:$C$480,3,FALSE)</f>
        <v>#N/A</v>
      </c>
      <c r="C1673" s="35"/>
      <c r="D1673" s="30" t="s">
        <v>1449</v>
      </c>
      <c r="E1673" s="15" t="s">
        <v>1675</v>
      </c>
    </row>
    <row r="1674" spans="1:5" x14ac:dyDescent="0.25">
      <c r="A1674" s="36" t="e">
        <f>VLOOKUP($C1674,'Variable Information'!$A$2:$E$480,5,FALSE)</f>
        <v>#N/A</v>
      </c>
      <c r="B1674" s="36" t="e">
        <f>VLOOKUP($C1674,'Variable Information'!$A$1:$C$480,3,FALSE)</f>
        <v>#N/A</v>
      </c>
      <c r="C1674" s="35"/>
      <c r="D1674" s="30" t="s">
        <v>1451</v>
      </c>
      <c r="E1674" s="15" t="s">
        <v>1676</v>
      </c>
    </row>
    <row r="1675" spans="1:5" x14ac:dyDescent="0.25">
      <c r="A1675" s="36" t="e">
        <f>VLOOKUP($C1675,'Variable Information'!$A$2:$E$480,5,FALSE)</f>
        <v>#N/A</v>
      </c>
      <c r="B1675" s="36" t="e">
        <f>VLOOKUP($C1675,'Variable Information'!$A$1:$C$480,3,FALSE)</f>
        <v>#N/A</v>
      </c>
      <c r="C1675" s="35"/>
      <c r="D1675" s="30" t="s">
        <v>1456</v>
      </c>
      <c r="E1675" s="15" t="s">
        <v>1677</v>
      </c>
    </row>
    <row r="1676" spans="1:5" x14ac:dyDescent="0.25">
      <c r="A1676" s="36" t="e">
        <f>VLOOKUP($C1676,'Variable Information'!$A$2:$E$480,5,FALSE)</f>
        <v>#N/A</v>
      </c>
      <c r="B1676" s="36" t="e">
        <f>VLOOKUP($C1676,'Variable Information'!$A$1:$C$480,3,FALSE)</f>
        <v>#N/A</v>
      </c>
      <c r="C1676" s="35"/>
      <c r="D1676" s="30" t="s">
        <v>1458</v>
      </c>
      <c r="E1676" s="15" t="s">
        <v>1669</v>
      </c>
    </row>
    <row r="1677" spans="1:5" x14ac:dyDescent="0.25">
      <c r="A1677" s="36" t="e">
        <f>VLOOKUP($C1677,'Variable Information'!$A$2:$E$480,5,FALSE)</f>
        <v>#N/A</v>
      </c>
      <c r="B1677" s="36" t="e">
        <f>VLOOKUP($C1677,'Variable Information'!$A$1:$C$480,3,FALSE)</f>
        <v>#N/A</v>
      </c>
      <c r="C1677" s="35"/>
      <c r="D1677" s="30" t="s">
        <v>1460</v>
      </c>
      <c r="E1677" s="15" t="s">
        <v>1678</v>
      </c>
    </row>
    <row r="1678" spans="1:5" x14ac:dyDescent="0.25">
      <c r="A1678" s="36" t="str">
        <f>VLOOKUP($C1678,'Variable Information'!$A$2:$E$480,5,FALSE)</f>
        <v>AJR_drm_2_i</v>
      </c>
      <c r="B1678" s="36" t="str">
        <f>VLOOKUP($C1678,'Variable Information'!$A$1:$C$480,3,FALSE)</f>
        <v>Q29_1_iter02_i. Agree or Disagree - A tribunal - &lt;&gt; took my concerns and experiences seriously</v>
      </c>
      <c r="C1678" s="35" t="s">
        <v>941</v>
      </c>
      <c r="D1678" s="30" t="s">
        <v>1447</v>
      </c>
      <c r="E1678" s="15" t="s">
        <v>1674</v>
      </c>
    </row>
    <row r="1679" spans="1:5" x14ac:dyDescent="0.25">
      <c r="A1679" s="36" t="e">
        <f>VLOOKUP($C1679,'Variable Information'!$A$2:$E$480,5,FALSE)</f>
        <v>#N/A</v>
      </c>
      <c r="B1679" s="36" t="e">
        <f>VLOOKUP($C1679,'Variable Information'!$A$1:$C$480,3,FALSE)</f>
        <v>#N/A</v>
      </c>
      <c r="C1679" s="35"/>
      <c r="D1679" s="30" t="s">
        <v>1449</v>
      </c>
      <c r="E1679" s="15" t="s">
        <v>1675</v>
      </c>
    </row>
    <row r="1680" spans="1:5" x14ac:dyDescent="0.25">
      <c r="A1680" s="36" t="e">
        <f>VLOOKUP($C1680,'Variable Information'!$A$2:$E$480,5,FALSE)</f>
        <v>#N/A</v>
      </c>
      <c r="B1680" s="36" t="e">
        <f>VLOOKUP($C1680,'Variable Information'!$A$1:$C$480,3,FALSE)</f>
        <v>#N/A</v>
      </c>
      <c r="C1680" s="35"/>
      <c r="D1680" s="30" t="s">
        <v>1451</v>
      </c>
      <c r="E1680" s="15" t="s">
        <v>1676</v>
      </c>
    </row>
    <row r="1681" spans="1:5" x14ac:dyDescent="0.25">
      <c r="A1681" s="36" t="e">
        <f>VLOOKUP($C1681,'Variable Information'!$A$2:$E$480,5,FALSE)</f>
        <v>#N/A</v>
      </c>
      <c r="B1681" s="36" t="e">
        <f>VLOOKUP($C1681,'Variable Information'!$A$1:$C$480,3,FALSE)</f>
        <v>#N/A</v>
      </c>
      <c r="C1681" s="35"/>
      <c r="D1681" s="30" t="s">
        <v>1456</v>
      </c>
      <c r="E1681" s="15" t="s">
        <v>1677</v>
      </c>
    </row>
    <row r="1682" spans="1:5" x14ac:dyDescent="0.25">
      <c r="A1682" s="36" t="e">
        <f>VLOOKUP($C1682,'Variable Information'!$A$2:$E$480,5,FALSE)</f>
        <v>#N/A</v>
      </c>
      <c r="B1682" s="36" t="e">
        <f>VLOOKUP($C1682,'Variable Information'!$A$1:$C$480,3,FALSE)</f>
        <v>#N/A</v>
      </c>
      <c r="C1682" s="35"/>
      <c r="D1682" s="30" t="s">
        <v>1458</v>
      </c>
      <c r="E1682" s="15" t="s">
        <v>1669</v>
      </c>
    </row>
    <row r="1683" spans="1:5" x14ac:dyDescent="0.25">
      <c r="A1683" s="36" t="e">
        <f>VLOOKUP($C1683,'Variable Information'!$A$2:$E$480,5,FALSE)</f>
        <v>#N/A</v>
      </c>
      <c r="B1683" s="36" t="e">
        <f>VLOOKUP($C1683,'Variable Information'!$A$1:$C$480,3,FALSE)</f>
        <v>#N/A</v>
      </c>
      <c r="C1683" s="35"/>
      <c r="D1683" s="30" t="s">
        <v>1460</v>
      </c>
      <c r="E1683" s="15" t="s">
        <v>1678</v>
      </c>
    </row>
    <row r="1684" spans="1:5" x14ac:dyDescent="0.25">
      <c r="A1684" s="36" t="str">
        <f>VLOOKUP($C1684,'Variable Information'!$A$2:$E$480,5,FALSE)</f>
        <v>AJR_drm_3_a</v>
      </c>
      <c r="B1684" s="36" t="str">
        <f>VLOOKUP($C1684,'Variable Information'!$A$1:$C$480,3,FALSE)</f>
        <v>Q29_1_iter03_a. Agree or Disagree - An Ombudsman - Both parties had the same opportunity to explain their position</v>
      </c>
      <c r="C1684" s="35" t="s">
        <v>944</v>
      </c>
      <c r="D1684" s="30" t="s">
        <v>1447</v>
      </c>
      <c r="E1684" s="15" t="s">
        <v>1674</v>
      </c>
    </row>
    <row r="1685" spans="1:5" x14ac:dyDescent="0.25">
      <c r="A1685" s="36" t="e">
        <f>VLOOKUP($C1685,'Variable Information'!$A$2:$E$480,5,FALSE)</f>
        <v>#N/A</v>
      </c>
      <c r="B1685" s="36" t="e">
        <f>VLOOKUP($C1685,'Variable Information'!$A$1:$C$480,3,FALSE)</f>
        <v>#N/A</v>
      </c>
      <c r="C1685" s="35"/>
      <c r="D1685" s="30" t="s">
        <v>1449</v>
      </c>
      <c r="E1685" s="15" t="s">
        <v>1675</v>
      </c>
    </row>
    <row r="1686" spans="1:5" x14ac:dyDescent="0.25">
      <c r="A1686" s="36" t="e">
        <f>VLOOKUP($C1686,'Variable Information'!$A$2:$E$480,5,FALSE)</f>
        <v>#N/A</v>
      </c>
      <c r="B1686" s="36" t="e">
        <f>VLOOKUP($C1686,'Variable Information'!$A$1:$C$480,3,FALSE)</f>
        <v>#N/A</v>
      </c>
      <c r="C1686" s="35"/>
      <c r="D1686" s="30" t="s">
        <v>1451</v>
      </c>
      <c r="E1686" s="15" t="s">
        <v>1676</v>
      </c>
    </row>
    <row r="1687" spans="1:5" x14ac:dyDescent="0.25">
      <c r="A1687" s="36" t="e">
        <f>VLOOKUP($C1687,'Variable Information'!$A$2:$E$480,5,FALSE)</f>
        <v>#N/A</v>
      </c>
      <c r="B1687" s="36" t="e">
        <f>VLOOKUP($C1687,'Variable Information'!$A$1:$C$480,3,FALSE)</f>
        <v>#N/A</v>
      </c>
      <c r="C1687" s="35"/>
      <c r="D1687" s="30" t="s">
        <v>1456</v>
      </c>
      <c r="E1687" s="15" t="s">
        <v>1677</v>
      </c>
    </row>
    <row r="1688" spans="1:5" x14ac:dyDescent="0.25">
      <c r="A1688" s="36" t="e">
        <f>VLOOKUP($C1688,'Variable Information'!$A$2:$E$480,5,FALSE)</f>
        <v>#N/A</v>
      </c>
      <c r="B1688" s="36" t="e">
        <f>VLOOKUP($C1688,'Variable Information'!$A$1:$C$480,3,FALSE)</f>
        <v>#N/A</v>
      </c>
      <c r="C1688" s="35"/>
      <c r="D1688" s="30" t="s">
        <v>1458</v>
      </c>
      <c r="E1688" s="15" t="s">
        <v>1669</v>
      </c>
    </row>
    <row r="1689" spans="1:5" x14ac:dyDescent="0.25">
      <c r="A1689" s="36" t="e">
        <f>VLOOKUP($C1689,'Variable Information'!$A$2:$E$480,5,FALSE)</f>
        <v>#N/A</v>
      </c>
      <c r="B1689" s="36" t="e">
        <f>VLOOKUP($C1689,'Variable Information'!$A$1:$C$480,3,FALSE)</f>
        <v>#N/A</v>
      </c>
      <c r="C1689" s="35"/>
      <c r="D1689" s="30" t="s">
        <v>1460</v>
      </c>
      <c r="E1689" s="15" t="s">
        <v>1678</v>
      </c>
    </row>
    <row r="1690" spans="1:5" x14ac:dyDescent="0.25">
      <c r="A1690" s="36" t="str">
        <f>VLOOKUP($C1690,'Variable Information'!$A$2:$E$480,5,FALSE)</f>
        <v>AJR_drm_3_b</v>
      </c>
      <c r="B1690" s="36" t="str">
        <f>VLOOKUP($C1690,'Variable Information'!$A$1:$C$480,3,FALSE)</f>
        <v>Q29_1_iter03_b. Agree or Disagree - An Ombudsman - The justification for the decision/outcome was clearly explained to me</v>
      </c>
      <c r="C1690" s="35" t="s">
        <v>947</v>
      </c>
      <c r="D1690" s="30" t="s">
        <v>1447</v>
      </c>
      <c r="E1690" s="15" t="s">
        <v>1674</v>
      </c>
    </row>
    <row r="1691" spans="1:5" x14ac:dyDescent="0.25">
      <c r="A1691" s="36" t="e">
        <f>VLOOKUP($C1691,'Variable Information'!$A$2:$E$480,5,FALSE)</f>
        <v>#N/A</v>
      </c>
      <c r="B1691" s="36" t="e">
        <f>VLOOKUP($C1691,'Variable Information'!$A$1:$C$480,3,FALSE)</f>
        <v>#N/A</v>
      </c>
      <c r="C1691" s="35"/>
      <c r="D1691" s="30" t="s">
        <v>1449</v>
      </c>
      <c r="E1691" s="15" t="s">
        <v>1675</v>
      </c>
    </row>
    <row r="1692" spans="1:5" x14ac:dyDescent="0.25">
      <c r="A1692" s="36" t="e">
        <f>VLOOKUP($C1692,'Variable Information'!$A$2:$E$480,5,FALSE)</f>
        <v>#N/A</v>
      </c>
      <c r="B1692" s="36" t="e">
        <f>VLOOKUP($C1692,'Variable Information'!$A$1:$C$480,3,FALSE)</f>
        <v>#N/A</v>
      </c>
      <c r="C1692" s="35"/>
      <c r="D1692" s="30" t="s">
        <v>1451</v>
      </c>
      <c r="E1692" s="15" t="s">
        <v>1676</v>
      </c>
    </row>
    <row r="1693" spans="1:5" x14ac:dyDescent="0.25">
      <c r="A1693" s="36" t="e">
        <f>VLOOKUP($C1693,'Variable Information'!$A$2:$E$480,5,FALSE)</f>
        <v>#N/A</v>
      </c>
      <c r="B1693" s="36" t="e">
        <f>VLOOKUP($C1693,'Variable Information'!$A$1:$C$480,3,FALSE)</f>
        <v>#N/A</v>
      </c>
      <c r="C1693" s="35"/>
      <c r="D1693" s="30" t="s">
        <v>1456</v>
      </c>
      <c r="E1693" s="15" t="s">
        <v>1677</v>
      </c>
    </row>
    <row r="1694" spans="1:5" x14ac:dyDescent="0.25">
      <c r="A1694" s="36" t="e">
        <f>VLOOKUP($C1694,'Variable Information'!$A$2:$E$480,5,FALSE)</f>
        <v>#N/A</v>
      </c>
      <c r="B1694" s="36" t="e">
        <f>VLOOKUP($C1694,'Variable Information'!$A$1:$C$480,3,FALSE)</f>
        <v>#N/A</v>
      </c>
      <c r="C1694" s="35"/>
      <c r="D1694" s="30" t="s">
        <v>1458</v>
      </c>
      <c r="E1694" s="15" t="s">
        <v>1669</v>
      </c>
    </row>
    <row r="1695" spans="1:5" x14ac:dyDescent="0.25">
      <c r="A1695" s="36" t="e">
        <f>VLOOKUP($C1695,'Variable Information'!$A$2:$E$480,5,FALSE)</f>
        <v>#N/A</v>
      </c>
      <c r="B1695" s="36" t="e">
        <f>VLOOKUP($C1695,'Variable Information'!$A$1:$C$480,3,FALSE)</f>
        <v>#N/A</v>
      </c>
      <c r="C1695" s="35"/>
      <c r="D1695" s="30" t="s">
        <v>1460</v>
      </c>
      <c r="E1695" s="15" t="s">
        <v>1678</v>
      </c>
    </row>
    <row r="1696" spans="1:5" x14ac:dyDescent="0.25">
      <c r="A1696" s="36" t="str">
        <f>VLOOKUP($C1696,'Variable Information'!$A$2:$E$480,5,FALSE)</f>
        <v>AJR_drm_3_c</v>
      </c>
      <c r="B1696" s="36" t="str">
        <f>VLOOKUP($C1696,'Variable Information'!$A$1:$C$480,3,FALSE)</f>
        <v>Q29_1_iter03_c. Agree or Disagree - An Ombudsman - The process was efficient</v>
      </c>
      <c r="C1696" s="35" t="s">
        <v>950</v>
      </c>
      <c r="D1696" s="30" t="s">
        <v>1447</v>
      </c>
      <c r="E1696" s="15" t="s">
        <v>1674</v>
      </c>
    </row>
    <row r="1697" spans="1:5" x14ac:dyDescent="0.25">
      <c r="A1697" s="36" t="e">
        <f>VLOOKUP($C1697,'Variable Information'!$A$2:$E$480,5,FALSE)</f>
        <v>#N/A</v>
      </c>
      <c r="B1697" s="36" t="e">
        <f>VLOOKUP($C1697,'Variable Information'!$A$1:$C$480,3,FALSE)</f>
        <v>#N/A</v>
      </c>
      <c r="C1697" s="35"/>
      <c r="D1697" s="30" t="s">
        <v>1449</v>
      </c>
      <c r="E1697" s="15" t="s">
        <v>1675</v>
      </c>
    </row>
    <row r="1698" spans="1:5" x14ac:dyDescent="0.25">
      <c r="A1698" s="36" t="e">
        <f>VLOOKUP($C1698,'Variable Information'!$A$2:$E$480,5,FALSE)</f>
        <v>#N/A</v>
      </c>
      <c r="B1698" s="36" t="e">
        <f>VLOOKUP($C1698,'Variable Information'!$A$1:$C$480,3,FALSE)</f>
        <v>#N/A</v>
      </c>
      <c r="C1698" s="35"/>
      <c r="D1698" s="30" t="s">
        <v>1451</v>
      </c>
      <c r="E1698" s="15" t="s">
        <v>1676</v>
      </c>
    </row>
    <row r="1699" spans="1:5" x14ac:dyDescent="0.25">
      <c r="A1699" s="36" t="e">
        <f>VLOOKUP($C1699,'Variable Information'!$A$2:$E$480,5,FALSE)</f>
        <v>#N/A</v>
      </c>
      <c r="B1699" s="36" t="e">
        <f>VLOOKUP($C1699,'Variable Information'!$A$1:$C$480,3,FALSE)</f>
        <v>#N/A</v>
      </c>
      <c r="C1699" s="35"/>
      <c r="D1699" s="30" t="s">
        <v>1456</v>
      </c>
      <c r="E1699" s="15" t="s">
        <v>1677</v>
      </c>
    </row>
    <row r="1700" spans="1:5" x14ac:dyDescent="0.25">
      <c r="A1700" s="36" t="e">
        <f>VLOOKUP($C1700,'Variable Information'!$A$2:$E$480,5,FALSE)</f>
        <v>#N/A</v>
      </c>
      <c r="B1700" s="36" t="e">
        <f>VLOOKUP($C1700,'Variable Information'!$A$1:$C$480,3,FALSE)</f>
        <v>#N/A</v>
      </c>
      <c r="C1700" s="35"/>
      <c r="D1700" s="30" t="s">
        <v>1458</v>
      </c>
      <c r="E1700" s="15" t="s">
        <v>1669</v>
      </c>
    </row>
    <row r="1701" spans="1:5" x14ac:dyDescent="0.25">
      <c r="A1701" s="36" t="e">
        <f>VLOOKUP($C1701,'Variable Information'!$A$2:$E$480,5,FALSE)</f>
        <v>#N/A</v>
      </c>
      <c r="B1701" s="36" t="e">
        <f>VLOOKUP($C1701,'Variable Information'!$A$1:$C$480,3,FALSE)</f>
        <v>#N/A</v>
      </c>
      <c r="C1701" s="35"/>
      <c r="D1701" s="30" t="s">
        <v>1460</v>
      </c>
      <c r="E1701" s="15" t="s">
        <v>1678</v>
      </c>
    </row>
    <row r="1702" spans="1:5" x14ac:dyDescent="0.25">
      <c r="A1702" s="36" t="str">
        <f>VLOOKUP($C1702,'Variable Information'!$A$2:$E$480,5,FALSE)</f>
        <v>AJR_drm_3_d</v>
      </c>
      <c r="B1702" s="36" t="str">
        <f>VLOOKUP($C1702,'Variable Information'!$A$1:$C$480,3,FALSE)</f>
        <v>Q29_1_iter03_d. Agree or Disagree - An Ombudsman - The process was affordable</v>
      </c>
      <c r="C1702" s="35" t="s">
        <v>953</v>
      </c>
      <c r="D1702" s="30" t="s">
        <v>1447</v>
      </c>
      <c r="E1702" s="15" t="s">
        <v>1674</v>
      </c>
    </row>
    <row r="1703" spans="1:5" x14ac:dyDescent="0.25">
      <c r="A1703" s="36" t="e">
        <f>VLOOKUP($C1703,'Variable Information'!$A$2:$E$480,5,FALSE)</f>
        <v>#N/A</v>
      </c>
      <c r="B1703" s="36" t="e">
        <f>VLOOKUP($C1703,'Variable Information'!$A$1:$C$480,3,FALSE)</f>
        <v>#N/A</v>
      </c>
      <c r="C1703" s="35"/>
      <c r="D1703" s="30" t="s">
        <v>1449</v>
      </c>
      <c r="E1703" s="15" t="s">
        <v>1675</v>
      </c>
    </row>
    <row r="1704" spans="1:5" x14ac:dyDescent="0.25">
      <c r="A1704" s="36" t="e">
        <f>VLOOKUP($C1704,'Variable Information'!$A$2:$E$480,5,FALSE)</f>
        <v>#N/A</v>
      </c>
      <c r="B1704" s="36" t="e">
        <f>VLOOKUP($C1704,'Variable Information'!$A$1:$C$480,3,FALSE)</f>
        <v>#N/A</v>
      </c>
      <c r="C1704" s="35"/>
      <c r="D1704" s="30" t="s">
        <v>1451</v>
      </c>
      <c r="E1704" s="15" t="s">
        <v>1676</v>
      </c>
    </row>
    <row r="1705" spans="1:5" x14ac:dyDescent="0.25">
      <c r="A1705" s="36" t="e">
        <f>VLOOKUP($C1705,'Variable Information'!$A$2:$E$480,5,FALSE)</f>
        <v>#N/A</v>
      </c>
      <c r="B1705" s="36" t="e">
        <f>VLOOKUP($C1705,'Variable Information'!$A$1:$C$480,3,FALSE)</f>
        <v>#N/A</v>
      </c>
      <c r="C1705" s="35"/>
      <c r="D1705" s="30" t="s">
        <v>1456</v>
      </c>
      <c r="E1705" s="15" t="s">
        <v>1677</v>
      </c>
    </row>
    <row r="1706" spans="1:5" x14ac:dyDescent="0.25">
      <c r="A1706" s="36" t="e">
        <f>VLOOKUP($C1706,'Variable Information'!$A$2:$E$480,5,FALSE)</f>
        <v>#N/A</v>
      </c>
      <c r="B1706" s="36" t="e">
        <f>VLOOKUP($C1706,'Variable Information'!$A$1:$C$480,3,FALSE)</f>
        <v>#N/A</v>
      </c>
      <c r="C1706" s="35"/>
      <c r="D1706" s="30" t="s">
        <v>1458</v>
      </c>
      <c r="E1706" s="15" t="s">
        <v>1669</v>
      </c>
    </row>
    <row r="1707" spans="1:5" x14ac:dyDescent="0.25">
      <c r="A1707" s="36" t="e">
        <f>VLOOKUP($C1707,'Variable Information'!$A$2:$E$480,5,FALSE)</f>
        <v>#N/A</v>
      </c>
      <c r="B1707" s="36" t="e">
        <f>VLOOKUP($C1707,'Variable Information'!$A$1:$C$480,3,FALSE)</f>
        <v>#N/A</v>
      </c>
      <c r="C1707" s="35"/>
      <c r="D1707" s="30" t="s">
        <v>1460</v>
      </c>
      <c r="E1707" s="15" t="s">
        <v>1678</v>
      </c>
    </row>
    <row r="1708" spans="1:5" x14ac:dyDescent="0.25">
      <c r="A1708" s="36" t="str">
        <f>VLOOKUP($C1708,'Variable Information'!$A$2:$E$480,5,FALSE)</f>
        <v>AJR_drm_3_e</v>
      </c>
      <c r="B1708" s="36" t="str">
        <f>VLOOKUP($C1708,'Variable Information'!$A$1:$C$480,3,FALSE)</f>
        <v>Q29_1_iter03_e. Agree or Disagree - An Ombudsman - The duration/length of the process was reasonable</v>
      </c>
      <c r="C1708" s="35" t="s">
        <v>956</v>
      </c>
      <c r="D1708" s="30" t="s">
        <v>1447</v>
      </c>
      <c r="E1708" s="15" t="s">
        <v>1674</v>
      </c>
    </row>
    <row r="1709" spans="1:5" x14ac:dyDescent="0.25">
      <c r="A1709" s="36" t="e">
        <f>VLOOKUP($C1709,'Variable Information'!$A$2:$E$480,5,FALSE)</f>
        <v>#N/A</v>
      </c>
      <c r="B1709" s="36" t="e">
        <f>VLOOKUP($C1709,'Variable Information'!$A$1:$C$480,3,FALSE)</f>
        <v>#N/A</v>
      </c>
      <c r="C1709" s="35"/>
      <c r="D1709" s="30" t="s">
        <v>1449</v>
      </c>
      <c r="E1709" s="15" t="s">
        <v>1675</v>
      </c>
    </row>
    <row r="1710" spans="1:5" x14ac:dyDescent="0.25">
      <c r="A1710" s="36" t="e">
        <f>VLOOKUP($C1710,'Variable Information'!$A$2:$E$480,5,FALSE)</f>
        <v>#N/A</v>
      </c>
      <c r="B1710" s="36" t="e">
        <f>VLOOKUP($C1710,'Variable Information'!$A$1:$C$480,3,FALSE)</f>
        <v>#N/A</v>
      </c>
      <c r="C1710" s="35"/>
      <c r="D1710" s="30" t="s">
        <v>1451</v>
      </c>
      <c r="E1710" s="15" t="s">
        <v>1676</v>
      </c>
    </row>
    <row r="1711" spans="1:5" x14ac:dyDescent="0.25">
      <c r="A1711" s="36" t="e">
        <f>VLOOKUP($C1711,'Variable Information'!$A$2:$E$480,5,FALSE)</f>
        <v>#N/A</v>
      </c>
      <c r="B1711" s="36" t="e">
        <f>VLOOKUP($C1711,'Variable Information'!$A$1:$C$480,3,FALSE)</f>
        <v>#N/A</v>
      </c>
      <c r="C1711" s="35"/>
      <c r="D1711" s="30" t="s">
        <v>1456</v>
      </c>
      <c r="E1711" s="15" t="s">
        <v>1677</v>
      </c>
    </row>
    <row r="1712" spans="1:5" x14ac:dyDescent="0.25">
      <c r="A1712" s="36" t="e">
        <f>VLOOKUP($C1712,'Variable Information'!$A$2:$E$480,5,FALSE)</f>
        <v>#N/A</v>
      </c>
      <c r="B1712" s="36" t="e">
        <f>VLOOKUP($C1712,'Variable Information'!$A$1:$C$480,3,FALSE)</f>
        <v>#N/A</v>
      </c>
      <c r="C1712" s="35"/>
      <c r="D1712" s="30" t="s">
        <v>1458</v>
      </c>
      <c r="E1712" s="15" t="s">
        <v>1669</v>
      </c>
    </row>
    <row r="1713" spans="1:5" x14ac:dyDescent="0.25">
      <c r="A1713" s="36" t="e">
        <f>VLOOKUP($C1713,'Variable Information'!$A$2:$E$480,5,FALSE)</f>
        <v>#N/A</v>
      </c>
      <c r="B1713" s="36" t="e">
        <f>VLOOKUP($C1713,'Variable Information'!$A$1:$C$480,3,FALSE)</f>
        <v>#N/A</v>
      </c>
      <c r="C1713" s="35"/>
      <c r="D1713" s="30" t="s">
        <v>1460</v>
      </c>
      <c r="E1713" s="15" t="s">
        <v>1678</v>
      </c>
    </row>
    <row r="1714" spans="1:5" x14ac:dyDescent="0.25">
      <c r="A1714" s="36" t="str">
        <f>VLOOKUP($C1714,'Variable Information'!$A$2:$E$480,5,FALSE)</f>
        <v>AJR_drm_3_f</v>
      </c>
      <c r="B1714" s="36" t="str">
        <f>VLOOKUP($C1714,'Variable Information'!$A$1:$C$480,3,FALSE)</f>
        <v>Q29_1_iter03_f. Agree or Disagree - An Ombudsman - The process was fair</v>
      </c>
      <c r="C1714" s="35" t="s">
        <v>959</v>
      </c>
      <c r="D1714" s="30" t="s">
        <v>1447</v>
      </c>
      <c r="E1714" s="15" t="s">
        <v>1674</v>
      </c>
    </row>
    <row r="1715" spans="1:5" x14ac:dyDescent="0.25">
      <c r="A1715" s="36" t="e">
        <f>VLOOKUP($C1715,'Variable Information'!$A$2:$E$480,5,FALSE)</f>
        <v>#N/A</v>
      </c>
      <c r="B1715" s="36" t="e">
        <f>VLOOKUP($C1715,'Variable Information'!$A$1:$C$480,3,FALSE)</f>
        <v>#N/A</v>
      </c>
      <c r="C1715" s="35"/>
      <c r="D1715" s="30" t="s">
        <v>1449</v>
      </c>
      <c r="E1715" s="15" t="s">
        <v>1675</v>
      </c>
    </row>
    <row r="1716" spans="1:5" x14ac:dyDescent="0.25">
      <c r="A1716" s="36" t="e">
        <f>VLOOKUP($C1716,'Variable Information'!$A$2:$E$480,5,FALSE)</f>
        <v>#N/A</v>
      </c>
      <c r="B1716" s="36" t="e">
        <f>VLOOKUP($C1716,'Variable Information'!$A$1:$C$480,3,FALSE)</f>
        <v>#N/A</v>
      </c>
      <c r="C1716" s="35"/>
      <c r="D1716" s="30" t="s">
        <v>1451</v>
      </c>
      <c r="E1716" s="15" t="s">
        <v>1676</v>
      </c>
    </row>
    <row r="1717" spans="1:5" x14ac:dyDescent="0.25">
      <c r="A1717" s="36" t="e">
        <f>VLOOKUP($C1717,'Variable Information'!$A$2:$E$480,5,FALSE)</f>
        <v>#N/A</v>
      </c>
      <c r="B1717" s="36" t="e">
        <f>VLOOKUP($C1717,'Variable Information'!$A$1:$C$480,3,FALSE)</f>
        <v>#N/A</v>
      </c>
      <c r="C1717" s="35"/>
      <c r="D1717" s="30" t="s">
        <v>1456</v>
      </c>
      <c r="E1717" s="15" t="s">
        <v>1677</v>
      </c>
    </row>
    <row r="1718" spans="1:5" x14ac:dyDescent="0.25">
      <c r="A1718" s="36" t="e">
        <f>VLOOKUP($C1718,'Variable Information'!$A$2:$E$480,5,FALSE)</f>
        <v>#N/A</v>
      </c>
      <c r="B1718" s="36" t="e">
        <f>VLOOKUP($C1718,'Variable Information'!$A$1:$C$480,3,FALSE)</f>
        <v>#N/A</v>
      </c>
      <c r="C1718" s="35"/>
      <c r="D1718" s="30" t="s">
        <v>1458</v>
      </c>
      <c r="E1718" s="15" t="s">
        <v>1669</v>
      </c>
    </row>
    <row r="1719" spans="1:5" x14ac:dyDescent="0.25">
      <c r="A1719" s="36" t="e">
        <f>VLOOKUP($C1719,'Variable Information'!$A$2:$E$480,5,FALSE)</f>
        <v>#N/A</v>
      </c>
      <c r="B1719" s="36" t="e">
        <f>VLOOKUP($C1719,'Variable Information'!$A$1:$C$480,3,FALSE)</f>
        <v>#N/A</v>
      </c>
      <c r="C1719" s="35"/>
      <c r="D1719" s="30" t="s">
        <v>1460</v>
      </c>
      <c r="E1719" s="15" t="s">
        <v>1678</v>
      </c>
    </row>
    <row r="1720" spans="1:5" x14ac:dyDescent="0.25">
      <c r="A1720" s="36" t="str">
        <f>VLOOKUP($C1720,'Variable Information'!$A$2:$E$480,5,FALSE)</f>
        <v>AJR_drm_3_g</v>
      </c>
      <c r="B1720" s="36" t="str">
        <f>VLOOKUP($C1720,'Variable Information'!$A$1:$C$480,3,FALSE)</f>
        <v>Q29_1_iter03_g. Agree or Disagree - An Ombudsman - The outcome was fair</v>
      </c>
      <c r="C1720" s="35" t="s">
        <v>962</v>
      </c>
      <c r="D1720" s="30" t="s">
        <v>1447</v>
      </c>
      <c r="E1720" s="15" t="s">
        <v>1674</v>
      </c>
    </row>
    <row r="1721" spans="1:5" x14ac:dyDescent="0.25">
      <c r="A1721" s="36" t="e">
        <f>VLOOKUP($C1721,'Variable Information'!$A$2:$E$480,5,FALSE)</f>
        <v>#N/A</v>
      </c>
      <c r="B1721" s="36" t="e">
        <f>VLOOKUP($C1721,'Variable Information'!$A$1:$C$480,3,FALSE)</f>
        <v>#N/A</v>
      </c>
      <c r="C1721" s="35"/>
      <c r="D1721" s="30" t="s">
        <v>1449</v>
      </c>
      <c r="E1721" s="15" t="s">
        <v>1675</v>
      </c>
    </row>
    <row r="1722" spans="1:5" x14ac:dyDescent="0.25">
      <c r="A1722" s="36" t="e">
        <f>VLOOKUP($C1722,'Variable Information'!$A$2:$E$480,5,FALSE)</f>
        <v>#N/A</v>
      </c>
      <c r="B1722" s="36" t="e">
        <f>VLOOKUP($C1722,'Variable Information'!$A$1:$C$480,3,FALSE)</f>
        <v>#N/A</v>
      </c>
      <c r="C1722" s="35"/>
      <c r="D1722" s="30" t="s">
        <v>1451</v>
      </c>
      <c r="E1722" s="15" t="s">
        <v>1676</v>
      </c>
    </row>
    <row r="1723" spans="1:5" x14ac:dyDescent="0.25">
      <c r="A1723" s="36" t="e">
        <f>VLOOKUP($C1723,'Variable Information'!$A$2:$E$480,5,FALSE)</f>
        <v>#N/A</v>
      </c>
      <c r="B1723" s="36" t="e">
        <f>VLOOKUP($C1723,'Variable Information'!$A$1:$C$480,3,FALSE)</f>
        <v>#N/A</v>
      </c>
      <c r="C1723" s="35"/>
      <c r="D1723" s="30" t="s">
        <v>1456</v>
      </c>
      <c r="E1723" s="15" t="s">
        <v>1677</v>
      </c>
    </row>
    <row r="1724" spans="1:5" x14ac:dyDescent="0.25">
      <c r="A1724" s="36" t="e">
        <f>VLOOKUP($C1724,'Variable Information'!$A$2:$E$480,5,FALSE)</f>
        <v>#N/A</v>
      </c>
      <c r="B1724" s="36" t="e">
        <f>VLOOKUP($C1724,'Variable Information'!$A$1:$C$480,3,FALSE)</f>
        <v>#N/A</v>
      </c>
      <c r="C1724" s="35"/>
      <c r="D1724" s="30" t="s">
        <v>1458</v>
      </c>
      <c r="E1724" s="15" t="s">
        <v>1669</v>
      </c>
    </row>
    <row r="1725" spans="1:5" x14ac:dyDescent="0.25">
      <c r="A1725" s="36" t="e">
        <f>VLOOKUP($C1725,'Variable Information'!$A$2:$E$480,5,FALSE)</f>
        <v>#N/A</v>
      </c>
      <c r="B1725" s="36" t="e">
        <f>VLOOKUP($C1725,'Variable Information'!$A$1:$C$480,3,FALSE)</f>
        <v>#N/A</v>
      </c>
      <c r="C1725" s="35"/>
      <c r="D1725" s="30" t="s">
        <v>1460</v>
      </c>
      <c r="E1725" s="15" t="s">
        <v>1678</v>
      </c>
    </row>
    <row r="1726" spans="1:5" x14ac:dyDescent="0.25">
      <c r="A1726" s="36" t="str">
        <f>VLOOKUP($C1726,'Variable Information'!$A$2:$E$480,5,FALSE)</f>
        <v>AJR_drm_3_h</v>
      </c>
      <c r="B1726" s="36" t="str">
        <f>VLOOKUP($C1726,'Variable Information'!$A$1:$C$480,3,FALSE)</f>
        <v>Q29_1_iter03_h. Agree or Disagree - An Ombudsman - &lt;&gt; was helpful</v>
      </c>
      <c r="C1726" s="35" t="s">
        <v>965</v>
      </c>
      <c r="D1726" s="30" t="s">
        <v>1447</v>
      </c>
      <c r="E1726" s="15" t="s">
        <v>1674</v>
      </c>
    </row>
    <row r="1727" spans="1:5" x14ac:dyDescent="0.25">
      <c r="A1727" s="36" t="e">
        <f>VLOOKUP($C1727,'Variable Information'!$A$2:$E$480,5,FALSE)</f>
        <v>#N/A</v>
      </c>
      <c r="B1727" s="36" t="e">
        <f>VLOOKUP($C1727,'Variable Information'!$A$1:$C$480,3,FALSE)</f>
        <v>#N/A</v>
      </c>
      <c r="C1727" s="35"/>
      <c r="D1727" s="30" t="s">
        <v>1449</v>
      </c>
      <c r="E1727" s="15" t="s">
        <v>1675</v>
      </c>
    </row>
    <row r="1728" spans="1:5" x14ac:dyDescent="0.25">
      <c r="A1728" s="36" t="e">
        <f>VLOOKUP($C1728,'Variable Information'!$A$2:$E$480,5,FALSE)</f>
        <v>#N/A</v>
      </c>
      <c r="B1728" s="36" t="e">
        <f>VLOOKUP($C1728,'Variable Information'!$A$1:$C$480,3,FALSE)</f>
        <v>#N/A</v>
      </c>
      <c r="C1728" s="35"/>
      <c r="D1728" s="30" t="s">
        <v>1451</v>
      </c>
      <c r="E1728" s="15" t="s">
        <v>1676</v>
      </c>
    </row>
    <row r="1729" spans="1:5" x14ac:dyDescent="0.25">
      <c r="A1729" s="36" t="e">
        <f>VLOOKUP($C1729,'Variable Information'!$A$2:$E$480,5,FALSE)</f>
        <v>#N/A</v>
      </c>
      <c r="B1729" s="36" t="e">
        <f>VLOOKUP($C1729,'Variable Information'!$A$1:$C$480,3,FALSE)</f>
        <v>#N/A</v>
      </c>
      <c r="C1729" s="35"/>
      <c r="D1729" s="30" t="s">
        <v>1456</v>
      </c>
      <c r="E1729" s="15" t="s">
        <v>1677</v>
      </c>
    </row>
    <row r="1730" spans="1:5" x14ac:dyDescent="0.25">
      <c r="A1730" s="36" t="e">
        <f>VLOOKUP($C1730,'Variable Information'!$A$2:$E$480,5,FALSE)</f>
        <v>#N/A</v>
      </c>
      <c r="B1730" s="36" t="e">
        <f>VLOOKUP($C1730,'Variable Information'!$A$1:$C$480,3,FALSE)</f>
        <v>#N/A</v>
      </c>
      <c r="C1730" s="35"/>
      <c r="D1730" s="30" t="s">
        <v>1458</v>
      </c>
      <c r="E1730" s="15" t="s">
        <v>1669</v>
      </c>
    </row>
    <row r="1731" spans="1:5" x14ac:dyDescent="0.25">
      <c r="A1731" s="36" t="e">
        <f>VLOOKUP($C1731,'Variable Information'!$A$2:$E$480,5,FALSE)</f>
        <v>#N/A</v>
      </c>
      <c r="B1731" s="36" t="e">
        <f>VLOOKUP($C1731,'Variable Information'!$A$1:$C$480,3,FALSE)</f>
        <v>#N/A</v>
      </c>
      <c r="C1731" s="35"/>
      <c r="D1731" s="30" t="s">
        <v>1460</v>
      </c>
      <c r="E1731" s="15" t="s">
        <v>1678</v>
      </c>
    </row>
    <row r="1732" spans="1:5" x14ac:dyDescent="0.25">
      <c r="A1732" s="36" t="str">
        <f>VLOOKUP($C1732,'Variable Information'!$A$2:$E$480,5,FALSE)</f>
        <v>AJR_drm_3_i</v>
      </c>
      <c r="B1732" s="36" t="str">
        <f>VLOOKUP($C1732,'Variable Information'!$A$1:$C$480,3,FALSE)</f>
        <v>Q29_1_iter03_i. Agree or Disagree - An Ombudsman - &lt;&gt; took my concerns and experiences seriously</v>
      </c>
      <c r="C1732" s="35" t="s">
        <v>968</v>
      </c>
      <c r="D1732" s="30" t="s">
        <v>1447</v>
      </c>
      <c r="E1732" s="15" t="s">
        <v>1674</v>
      </c>
    </row>
    <row r="1733" spans="1:5" x14ac:dyDescent="0.25">
      <c r="A1733" s="36" t="e">
        <f>VLOOKUP($C1733,'Variable Information'!$A$2:$E$480,5,FALSE)</f>
        <v>#N/A</v>
      </c>
      <c r="B1733" s="36" t="e">
        <f>VLOOKUP($C1733,'Variable Information'!$A$1:$C$480,3,FALSE)</f>
        <v>#N/A</v>
      </c>
      <c r="C1733" s="35"/>
      <c r="D1733" s="30" t="s">
        <v>1449</v>
      </c>
      <c r="E1733" s="15" t="s">
        <v>1675</v>
      </c>
    </row>
    <row r="1734" spans="1:5" x14ac:dyDescent="0.25">
      <c r="A1734" s="36" t="e">
        <f>VLOOKUP($C1734,'Variable Information'!$A$2:$E$480,5,FALSE)</f>
        <v>#N/A</v>
      </c>
      <c r="B1734" s="36" t="e">
        <f>VLOOKUP($C1734,'Variable Information'!$A$1:$C$480,3,FALSE)</f>
        <v>#N/A</v>
      </c>
      <c r="C1734" s="35"/>
      <c r="D1734" s="30" t="s">
        <v>1451</v>
      </c>
      <c r="E1734" s="15" t="s">
        <v>1676</v>
      </c>
    </row>
    <row r="1735" spans="1:5" x14ac:dyDescent="0.25">
      <c r="A1735" s="36" t="e">
        <f>VLOOKUP($C1735,'Variable Information'!$A$2:$E$480,5,FALSE)</f>
        <v>#N/A</v>
      </c>
      <c r="B1735" s="36" t="e">
        <f>VLOOKUP($C1735,'Variable Information'!$A$1:$C$480,3,FALSE)</f>
        <v>#N/A</v>
      </c>
      <c r="C1735" s="35"/>
      <c r="D1735" s="30" t="s">
        <v>1456</v>
      </c>
      <c r="E1735" s="15" t="s">
        <v>1677</v>
      </c>
    </row>
    <row r="1736" spans="1:5" x14ac:dyDescent="0.25">
      <c r="A1736" s="36" t="e">
        <f>VLOOKUP($C1736,'Variable Information'!$A$2:$E$480,5,FALSE)</f>
        <v>#N/A</v>
      </c>
      <c r="B1736" s="36" t="e">
        <f>VLOOKUP($C1736,'Variable Information'!$A$1:$C$480,3,FALSE)</f>
        <v>#N/A</v>
      </c>
      <c r="C1736" s="35"/>
      <c r="D1736" s="30" t="s">
        <v>1458</v>
      </c>
      <c r="E1736" s="15" t="s">
        <v>1669</v>
      </c>
    </row>
    <row r="1737" spans="1:5" x14ac:dyDescent="0.25">
      <c r="A1737" s="36" t="e">
        <f>VLOOKUP($C1737,'Variable Information'!$A$2:$E$480,5,FALSE)</f>
        <v>#N/A</v>
      </c>
      <c r="B1737" s="36" t="e">
        <f>VLOOKUP($C1737,'Variable Information'!$A$1:$C$480,3,FALSE)</f>
        <v>#N/A</v>
      </c>
      <c r="C1737" s="35"/>
      <c r="D1737" s="30" t="s">
        <v>1460</v>
      </c>
      <c r="E1737" s="15" t="s">
        <v>1678</v>
      </c>
    </row>
    <row r="1738" spans="1:5" x14ac:dyDescent="0.25">
      <c r="A1738" s="36" t="str">
        <f>VLOOKUP($C1738,'Variable Information'!$A$2:$E$480,5,FALSE)</f>
        <v>AJR_drm_4_a</v>
      </c>
      <c r="B1738" s="36" t="str">
        <f>VLOOKUP($C1738,'Variable Information'!$A$1:$C$480,3,FALSE)</f>
        <v>Q29_1_iter04_a. Agree or Disagree - The Gardai/police - Both parties had the same opportunity to explain their position</v>
      </c>
      <c r="C1738" s="35" t="s">
        <v>971</v>
      </c>
      <c r="D1738" s="30" t="s">
        <v>1447</v>
      </c>
      <c r="E1738" s="15" t="s">
        <v>1674</v>
      </c>
    </row>
    <row r="1739" spans="1:5" x14ac:dyDescent="0.25">
      <c r="A1739" s="36" t="e">
        <f>VLOOKUP($C1739,'Variable Information'!$A$2:$E$480,5,FALSE)</f>
        <v>#N/A</v>
      </c>
      <c r="B1739" s="36" t="e">
        <f>VLOOKUP($C1739,'Variable Information'!$A$1:$C$480,3,FALSE)</f>
        <v>#N/A</v>
      </c>
      <c r="C1739" s="35"/>
      <c r="D1739" s="30" t="s">
        <v>1449</v>
      </c>
      <c r="E1739" s="15" t="s">
        <v>1675</v>
      </c>
    </row>
    <row r="1740" spans="1:5" x14ac:dyDescent="0.25">
      <c r="A1740" s="36" t="e">
        <f>VLOOKUP($C1740,'Variable Information'!$A$2:$E$480,5,FALSE)</f>
        <v>#N/A</v>
      </c>
      <c r="B1740" s="36" t="e">
        <f>VLOOKUP($C1740,'Variable Information'!$A$1:$C$480,3,FALSE)</f>
        <v>#N/A</v>
      </c>
      <c r="C1740" s="35"/>
      <c r="D1740" s="30" t="s">
        <v>1451</v>
      </c>
      <c r="E1740" s="15" t="s">
        <v>1676</v>
      </c>
    </row>
    <row r="1741" spans="1:5" x14ac:dyDescent="0.25">
      <c r="A1741" s="36" t="e">
        <f>VLOOKUP($C1741,'Variable Information'!$A$2:$E$480,5,FALSE)</f>
        <v>#N/A</v>
      </c>
      <c r="B1741" s="36" t="e">
        <f>VLOOKUP($C1741,'Variable Information'!$A$1:$C$480,3,FALSE)</f>
        <v>#N/A</v>
      </c>
      <c r="C1741" s="35"/>
      <c r="D1741" s="30" t="s">
        <v>1456</v>
      </c>
      <c r="E1741" s="15" t="s">
        <v>1677</v>
      </c>
    </row>
    <row r="1742" spans="1:5" x14ac:dyDescent="0.25">
      <c r="A1742" s="36" t="e">
        <f>VLOOKUP($C1742,'Variable Information'!$A$2:$E$480,5,FALSE)</f>
        <v>#N/A</v>
      </c>
      <c r="B1742" s="36" t="e">
        <f>VLOOKUP($C1742,'Variable Information'!$A$1:$C$480,3,FALSE)</f>
        <v>#N/A</v>
      </c>
      <c r="C1742" s="35"/>
      <c r="D1742" s="30" t="s">
        <v>1458</v>
      </c>
      <c r="E1742" s="15" t="s">
        <v>1669</v>
      </c>
    </row>
    <row r="1743" spans="1:5" x14ac:dyDescent="0.25">
      <c r="A1743" s="36" t="e">
        <f>VLOOKUP($C1743,'Variable Information'!$A$2:$E$480,5,FALSE)</f>
        <v>#N/A</v>
      </c>
      <c r="B1743" s="36" t="e">
        <f>VLOOKUP($C1743,'Variable Information'!$A$1:$C$480,3,FALSE)</f>
        <v>#N/A</v>
      </c>
      <c r="C1743" s="35"/>
      <c r="D1743" s="30" t="s">
        <v>1460</v>
      </c>
      <c r="E1743" s="15" t="s">
        <v>1678</v>
      </c>
    </row>
    <row r="1744" spans="1:5" x14ac:dyDescent="0.25">
      <c r="A1744" s="36" t="str">
        <f>VLOOKUP($C1744,'Variable Information'!$A$2:$E$480,5,FALSE)</f>
        <v>AJR_drm_4_b</v>
      </c>
      <c r="B1744" s="36" t="str">
        <f>VLOOKUP($C1744,'Variable Information'!$A$1:$C$480,3,FALSE)</f>
        <v>Q29_1_iter04_b. Agree or Disagree - The Gardai/police - The justification for the decision/outcome was clearly explained to me</v>
      </c>
      <c r="C1744" s="35" t="s">
        <v>974</v>
      </c>
      <c r="D1744" s="30" t="s">
        <v>1447</v>
      </c>
      <c r="E1744" s="15" t="s">
        <v>1674</v>
      </c>
    </row>
    <row r="1745" spans="1:5" x14ac:dyDescent="0.25">
      <c r="A1745" s="36" t="e">
        <f>VLOOKUP($C1745,'Variable Information'!$A$2:$E$480,5,FALSE)</f>
        <v>#N/A</v>
      </c>
      <c r="B1745" s="36" t="e">
        <f>VLOOKUP($C1745,'Variable Information'!$A$1:$C$480,3,FALSE)</f>
        <v>#N/A</v>
      </c>
      <c r="C1745" s="35"/>
      <c r="D1745" s="30" t="s">
        <v>1449</v>
      </c>
      <c r="E1745" s="15" t="s">
        <v>1675</v>
      </c>
    </row>
    <row r="1746" spans="1:5" x14ac:dyDescent="0.25">
      <c r="A1746" s="36" t="e">
        <f>VLOOKUP($C1746,'Variable Information'!$A$2:$E$480,5,FALSE)</f>
        <v>#N/A</v>
      </c>
      <c r="B1746" s="36" t="e">
        <f>VLOOKUP($C1746,'Variable Information'!$A$1:$C$480,3,FALSE)</f>
        <v>#N/A</v>
      </c>
      <c r="C1746" s="35"/>
      <c r="D1746" s="30" t="s">
        <v>1451</v>
      </c>
      <c r="E1746" s="15" t="s">
        <v>1676</v>
      </c>
    </row>
    <row r="1747" spans="1:5" x14ac:dyDescent="0.25">
      <c r="A1747" s="36" t="e">
        <f>VLOOKUP($C1747,'Variable Information'!$A$2:$E$480,5,FALSE)</f>
        <v>#N/A</v>
      </c>
      <c r="B1747" s="36" t="e">
        <f>VLOOKUP($C1747,'Variable Information'!$A$1:$C$480,3,FALSE)</f>
        <v>#N/A</v>
      </c>
      <c r="C1747" s="35"/>
      <c r="D1747" s="30" t="s">
        <v>1456</v>
      </c>
      <c r="E1747" s="15" t="s">
        <v>1677</v>
      </c>
    </row>
    <row r="1748" spans="1:5" x14ac:dyDescent="0.25">
      <c r="A1748" s="36" t="e">
        <f>VLOOKUP($C1748,'Variable Information'!$A$2:$E$480,5,FALSE)</f>
        <v>#N/A</v>
      </c>
      <c r="B1748" s="36" t="e">
        <f>VLOOKUP($C1748,'Variable Information'!$A$1:$C$480,3,FALSE)</f>
        <v>#N/A</v>
      </c>
      <c r="C1748" s="35"/>
      <c r="D1748" s="30" t="s">
        <v>1458</v>
      </c>
      <c r="E1748" s="15" t="s">
        <v>1669</v>
      </c>
    </row>
    <row r="1749" spans="1:5" x14ac:dyDescent="0.25">
      <c r="A1749" s="36" t="e">
        <f>VLOOKUP($C1749,'Variable Information'!$A$2:$E$480,5,FALSE)</f>
        <v>#N/A</v>
      </c>
      <c r="B1749" s="36" t="e">
        <f>VLOOKUP($C1749,'Variable Information'!$A$1:$C$480,3,FALSE)</f>
        <v>#N/A</v>
      </c>
      <c r="C1749" s="35"/>
      <c r="D1749" s="30" t="s">
        <v>1460</v>
      </c>
      <c r="E1749" s="15" t="s">
        <v>1678</v>
      </c>
    </row>
    <row r="1750" spans="1:5" x14ac:dyDescent="0.25">
      <c r="A1750" s="36" t="str">
        <f>VLOOKUP($C1750,'Variable Information'!$A$2:$E$480,5,FALSE)</f>
        <v>AJR_drm_4_c</v>
      </c>
      <c r="B1750" s="36" t="str">
        <f>VLOOKUP($C1750,'Variable Information'!$A$1:$C$480,3,FALSE)</f>
        <v>Q29_1_iter04_c. Agree or Disagree - The Gardai/police - The process was efficient</v>
      </c>
      <c r="C1750" s="35" t="s">
        <v>977</v>
      </c>
      <c r="D1750" s="30" t="s">
        <v>1447</v>
      </c>
      <c r="E1750" s="15" t="s">
        <v>1674</v>
      </c>
    </row>
    <row r="1751" spans="1:5" x14ac:dyDescent="0.25">
      <c r="A1751" s="36" t="e">
        <f>VLOOKUP($C1751,'Variable Information'!$A$2:$E$480,5,FALSE)</f>
        <v>#N/A</v>
      </c>
      <c r="B1751" s="36" t="e">
        <f>VLOOKUP($C1751,'Variable Information'!$A$1:$C$480,3,FALSE)</f>
        <v>#N/A</v>
      </c>
      <c r="C1751" s="35"/>
      <c r="D1751" s="30" t="s">
        <v>1449</v>
      </c>
      <c r="E1751" s="15" t="s">
        <v>1675</v>
      </c>
    </row>
    <row r="1752" spans="1:5" x14ac:dyDescent="0.25">
      <c r="A1752" s="36" t="e">
        <f>VLOOKUP($C1752,'Variable Information'!$A$2:$E$480,5,FALSE)</f>
        <v>#N/A</v>
      </c>
      <c r="B1752" s="36" t="e">
        <f>VLOOKUP($C1752,'Variable Information'!$A$1:$C$480,3,FALSE)</f>
        <v>#N/A</v>
      </c>
      <c r="C1752" s="35"/>
      <c r="D1752" s="30" t="s">
        <v>1451</v>
      </c>
      <c r="E1752" s="15" t="s">
        <v>1676</v>
      </c>
    </row>
    <row r="1753" spans="1:5" x14ac:dyDescent="0.25">
      <c r="A1753" s="36" t="e">
        <f>VLOOKUP($C1753,'Variable Information'!$A$2:$E$480,5,FALSE)</f>
        <v>#N/A</v>
      </c>
      <c r="B1753" s="36" t="e">
        <f>VLOOKUP($C1753,'Variable Information'!$A$1:$C$480,3,FALSE)</f>
        <v>#N/A</v>
      </c>
      <c r="C1753" s="35"/>
      <c r="D1753" s="30" t="s">
        <v>1456</v>
      </c>
      <c r="E1753" s="15" t="s">
        <v>1677</v>
      </c>
    </row>
    <row r="1754" spans="1:5" x14ac:dyDescent="0.25">
      <c r="A1754" s="36" t="e">
        <f>VLOOKUP($C1754,'Variable Information'!$A$2:$E$480,5,FALSE)</f>
        <v>#N/A</v>
      </c>
      <c r="B1754" s="36" t="e">
        <f>VLOOKUP($C1754,'Variable Information'!$A$1:$C$480,3,FALSE)</f>
        <v>#N/A</v>
      </c>
      <c r="C1754" s="35"/>
      <c r="D1754" s="30" t="s">
        <v>1458</v>
      </c>
      <c r="E1754" s="15" t="s">
        <v>1669</v>
      </c>
    </row>
    <row r="1755" spans="1:5" x14ac:dyDescent="0.25">
      <c r="A1755" s="36" t="e">
        <f>VLOOKUP($C1755,'Variable Information'!$A$2:$E$480,5,FALSE)</f>
        <v>#N/A</v>
      </c>
      <c r="B1755" s="36" t="e">
        <f>VLOOKUP($C1755,'Variable Information'!$A$1:$C$480,3,FALSE)</f>
        <v>#N/A</v>
      </c>
      <c r="C1755" s="35"/>
      <c r="D1755" s="30" t="s">
        <v>1460</v>
      </c>
      <c r="E1755" s="15" t="s">
        <v>1678</v>
      </c>
    </row>
    <row r="1756" spans="1:5" x14ac:dyDescent="0.25">
      <c r="A1756" s="36" t="str">
        <f>VLOOKUP($C1756,'Variable Information'!$A$2:$E$480,5,FALSE)</f>
        <v>AJR_drm_4_d</v>
      </c>
      <c r="B1756" s="36" t="str">
        <f>VLOOKUP($C1756,'Variable Information'!$A$1:$C$480,3,FALSE)</f>
        <v>Q29_1_iter04_d. Agree or Disagree - The Gardai/police - The process was affordable</v>
      </c>
      <c r="C1756" s="35" t="s">
        <v>980</v>
      </c>
      <c r="D1756" s="30" t="s">
        <v>1447</v>
      </c>
      <c r="E1756" s="15" t="s">
        <v>1674</v>
      </c>
    </row>
    <row r="1757" spans="1:5" x14ac:dyDescent="0.25">
      <c r="A1757" s="36" t="e">
        <f>VLOOKUP($C1757,'Variable Information'!$A$2:$E$480,5,FALSE)</f>
        <v>#N/A</v>
      </c>
      <c r="B1757" s="36" t="e">
        <f>VLOOKUP($C1757,'Variable Information'!$A$1:$C$480,3,FALSE)</f>
        <v>#N/A</v>
      </c>
      <c r="C1757" s="35"/>
      <c r="D1757" s="30" t="s">
        <v>1449</v>
      </c>
      <c r="E1757" s="15" t="s">
        <v>1675</v>
      </c>
    </row>
    <row r="1758" spans="1:5" x14ac:dyDescent="0.25">
      <c r="A1758" s="36" t="e">
        <f>VLOOKUP($C1758,'Variable Information'!$A$2:$E$480,5,FALSE)</f>
        <v>#N/A</v>
      </c>
      <c r="B1758" s="36" t="e">
        <f>VLOOKUP($C1758,'Variable Information'!$A$1:$C$480,3,FALSE)</f>
        <v>#N/A</v>
      </c>
      <c r="C1758" s="35"/>
      <c r="D1758" s="30" t="s">
        <v>1451</v>
      </c>
      <c r="E1758" s="15" t="s">
        <v>1676</v>
      </c>
    </row>
    <row r="1759" spans="1:5" x14ac:dyDescent="0.25">
      <c r="A1759" s="36" t="e">
        <f>VLOOKUP($C1759,'Variable Information'!$A$2:$E$480,5,FALSE)</f>
        <v>#N/A</v>
      </c>
      <c r="B1759" s="36" t="e">
        <f>VLOOKUP($C1759,'Variable Information'!$A$1:$C$480,3,FALSE)</f>
        <v>#N/A</v>
      </c>
      <c r="C1759" s="35"/>
      <c r="D1759" s="30" t="s">
        <v>1456</v>
      </c>
      <c r="E1759" s="15" t="s">
        <v>1677</v>
      </c>
    </row>
    <row r="1760" spans="1:5" x14ac:dyDescent="0.25">
      <c r="A1760" s="36" t="e">
        <f>VLOOKUP($C1760,'Variable Information'!$A$2:$E$480,5,FALSE)</f>
        <v>#N/A</v>
      </c>
      <c r="B1760" s="36" t="e">
        <f>VLOOKUP($C1760,'Variable Information'!$A$1:$C$480,3,FALSE)</f>
        <v>#N/A</v>
      </c>
      <c r="C1760" s="35"/>
      <c r="D1760" s="30" t="s">
        <v>1458</v>
      </c>
      <c r="E1760" s="15" t="s">
        <v>1669</v>
      </c>
    </row>
    <row r="1761" spans="1:5" x14ac:dyDescent="0.25">
      <c r="A1761" s="36" t="e">
        <f>VLOOKUP($C1761,'Variable Information'!$A$2:$E$480,5,FALSE)</f>
        <v>#N/A</v>
      </c>
      <c r="B1761" s="36" t="e">
        <f>VLOOKUP($C1761,'Variable Information'!$A$1:$C$480,3,FALSE)</f>
        <v>#N/A</v>
      </c>
      <c r="C1761" s="35"/>
      <c r="D1761" s="30" t="s">
        <v>1460</v>
      </c>
      <c r="E1761" s="15" t="s">
        <v>1678</v>
      </c>
    </row>
    <row r="1762" spans="1:5" x14ac:dyDescent="0.25">
      <c r="A1762" s="36" t="str">
        <f>VLOOKUP($C1762,'Variable Information'!$A$2:$E$480,5,FALSE)</f>
        <v>AJR_drm_4_e</v>
      </c>
      <c r="B1762" s="36" t="str">
        <f>VLOOKUP($C1762,'Variable Information'!$A$1:$C$480,3,FALSE)</f>
        <v>Q29_1_iter04_e. Agree or Disagree - The Gardai/police - The duration/length of the process was reasonable</v>
      </c>
      <c r="C1762" s="35" t="s">
        <v>983</v>
      </c>
      <c r="D1762" s="30" t="s">
        <v>1447</v>
      </c>
      <c r="E1762" s="15" t="s">
        <v>1674</v>
      </c>
    </row>
    <row r="1763" spans="1:5" x14ac:dyDescent="0.25">
      <c r="A1763" s="36" t="e">
        <f>VLOOKUP($C1763,'Variable Information'!$A$2:$E$480,5,FALSE)</f>
        <v>#N/A</v>
      </c>
      <c r="B1763" s="36" t="e">
        <f>VLOOKUP($C1763,'Variable Information'!$A$1:$C$480,3,FALSE)</f>
        <v>#N/A</v>
      </c>
      <c r="C1763" s="35"/>
      <c r="D1763" s="30" t="s">
        <v>1449</v>
      </c>
      <c r="E1763" s="15" t="s">
        <v>1675</v>
      </c>
    </row>
    <row r="1764" spans="1:5" x14ac:dyDescent="0.25">
      <c r="A1764" s="36" t="e">
        <f>VLOOKUP($C1764,'Variable Information'!$A$2:$E$480,5,FALSE)</f>
        <v>#N/A</v>
      </c>
      <c r="B1764" s="36" t="e">
        <f>VLOOKUP($C1764,'Variable Information'!$A$1:$C$480,3,FALSE)</f>
        <v>#N/A</v>
      </c>
      <c r="C1764" s="35"/>
      <c r="D1764" s="30" t="s">
        <v>1451</v>
      </c>
      <c r="E1764" s="15" t="s">
        <v>1676</v>
      </c>
    </row>
    <row r="1765" spans="1:5" x14ac:dyDescent="0.25">
      <c r="A1765" s="36" t="e">
        <f>VLOOKUP($C1765,'Variable Information'!$A$2:$E$480,5,FALSE)</f>
        <v>#N/A</v>
      </c>
      <c r="B1765" s="36" t="e">
        <f>VLOOKUP($C1765,'Variable Information'!$A$1:$C$480,3,FALSE)</f>
        <v>#N/A</v>
      </c>
      <c r="C1765" s="35"/>
      <c r="D1765" s="30" t="s">
        <v>1456</v>
      </c>
      <c r="E1765" s="15" t="s">
        <v>1677</v>
      </c>
    </row>
    <row r="1766" spans="1:5" x14ac:dyDescent="0.25">
      <c r="A1766" s="36" t="e">
        <f>VLOOKUP($C1766,'Variable Information'!$A$2:$E$480,5,FALSE)</f>
        <v>#N/A</v>
      </c>
      <c r="B1766" s="36" t="e">
        <f>VLOOKUP($C1766,'Variable Information'!$A$1:$C$480,3,FALSE)</f>
        <v>#N/A</v>
      </c>
      <c r="C1766" s="35"/>
      <c r="D1766" s="30" t="s">
        <v>1458</v>
      </c>
      <c r="E1766" s="15" t="s">
        <v>1669</v>
      </c>
    </row>
    <row r="1767" spans="1:5" x14ac:dyDescent="0.25">
      <c r="A1767" s="36" t="e">
        <f>VLOOKUP($C1767,'Variable Information'!$A$2:$E$480,5,FALSE)</f>
        <v>#N/A</v>
      </c>
      <c r="B1767" s="36" t="e">
        <f>VLOOKUP($C1767,'Variable Information'!$A$1:$C$480,3,FALSE)</f>
        <v>#N/A</v>
      </c>
      <c r="C1767" s="35"/>
      <c r="D1767" s="30" t="s">
        <v>1460</v>
      </c>
      <c r="E1767" s="15" t="s">
        <v>1678</v>
      </c>
    </row>
    <row r="1768" spans="1:5" x14ac:dyDescent="0.25">
      <c r="A1768" s="36" t="str">
        <f>VLOOKUP($C1768,'Variable Information'!$A$2:$E$480,5,FALSE)</f>
        <v>AJR_drm_4_f</v>
      </c>
      <c r="B1768" s="36" t="str">
        <f>VLOOKUP($C1768,'Variable Information'!$A$1:$C$480,3,FALSE)</f>
        <v>Q29_1_iter04_f. Agree or Disagree - The Gardai/police - The process was fair</v>
      </c>
      <c r="C1768" s="35" t="s">
        <v>986</v>
      </c>
      <c r="D1768" s="30" t="s">
        <v>1447</v>
      </c>
      <c r="E1768" s="15" t="s">
        <v>1674</v>
      </c>
    </row>
    <row r="1769" spans="1:5" x14ac:dyDescent="0.25">
      <c r="A1769" s="36" t="e">
        <f>VLOOKUP($C1769,'Variable Information'!$A$2:$E$480,5,FALSE)</f>
        <v>#N/A</v>
      </c>
      <c r="B1769" s="36" t="e">
        <f>VLOOKUP($C1769,'Variable Information'!$A$1:$C$480,3,FALSE)</f>
        <v>#N/A</v>
      </c>
      <c r="C1769" s="35"/>
      <c r="D1769" s="30" t="s">
        <v>1449</v>
      </c>
      <c r="E1769" s="15" t="s">
        <v>1675</v>
      </c>
    </row>
    <row r="1770" spans="1:5" x14ac:dyDescent="0.25">
      <c r="A1770" s="36" t="e">
        <f>VLOOKUP($C1770,'Variable Information'!$A$2:$E$480,5,FALSE)</f>
        <v>#N/A</v>
      </c>
      <c r="B1770" s="36" t="e">
        <f>VLOOKUP($C1770,'Variable Information'!$A$1:$C$480,3,FALSE)</f>
        <v>#N/A</v>
      </c>
      <c r="C1770" s="35"/>
      <c r="D1770" s="30" t="s">
        <v>1451</v>
      </c>
      <c r="E1770" s="15" t="s">
        <v>1676</v>
      </c>
    </row>
    <row r="1771" spans="1:5" x14ac:dyDescent="0.25">
      <c r="A1771" s="36" t="e">
        <f>VLOOKUP($C1771,'Variable Information'!$A$2:$E$480,5,FALSE)</f>
        <v>#N/A</v>
      </c>
      <c r="B1771" s="36" t="e">
        <f>VLOOKUP($C1771,'Variable Information'!$A$1:$C$480,3,FALSE)</f>
        <v>#N/A</v>
      </c>
      <c r="C1771" s="35"/>
      <c r="D1771" s="30" t="s">
        <v>1456</v>
      </c>
      <c r="E1771" s="15" t="s">
        <v>1677</v>
      </c>
    </row>
    <row r="1772" spans="1:5" x14ac:dyDescent="0.25">
      <c r="A1772" s="36" t="e">
        <f>VLOOKUP($C1772,'Variable Information'!$A$2:$E$480,5,FALSE)</f>
        <v>#N/A</v>
      </c>
      <c r="B1772" s="36" t="e">
        <f>VLOOKUP($C1772,'Variable Information'!$A$1:$C$480,3,FALSE)</f>
        <v>#N/A</v>
      </c>
      <c r="C1772" s="35"/>
      <c r="D1772" s="30" t="s">
        <v>1458</v>
      </c>
      <c r="E1772" s="15" t="s">
        <v>1669</v>
      </c>
    </row>
    <row r="1773" spans="1:5" x14ac:dyDescent="0.25">
      <c r="A1773" s="36" t="e">
        <f>VLOOKUP($C1773,'Variable Information'!$A$2:$E$480,5,FALSE)</f>
        <v>#N/A</v>
      </c>
      <c r="B1773" s="36" t="e">
        <f>VLOOKUP($C1773,'Variable Information'!$A$1:$C$480,3,FALSE)</f>
        <v>#N/A</v>
      </c>
      <c r="C1773" s="35"/>
      <c r="D1773" s="30" t="s">
        <v>1460</v>
      </c>
      <c r="E1773" s="15" t="s">
        <v>1678</v>
      </c>
    </row>
    <row r="1774" spans="1:5" x14ac:dyDescent="0.25">
      <c r="A1774" s="36" t="str">
        <f>VLOOKUP($C1774,'Variable Information'!$A$2:$E$480,5,FALSE)</f>
        <v>AJR_drm_4_g</v>
      </c>
      <c r="B1774" s="36" t="str">
        <f>VLOOKUP($C1774,'Variable Information'!$A$1:$C$480,3,FALSE)</f>
        <v>Q29_1_iter04_g. Agree or Disagree - The Gardai/police - The outcome was fair</v>
      </c>
      <c r="C1774" s="35" t="s">
        <v>989</v>
      </c>
      <c r="D1774" s="30" t="s">
        <v>1447</v>
      </c>
      <c r="E1774" s="15" t="s">
        <v>1674</v>
      </c>
    </row>
    <row r="1775" spans="1:5" x14ac:dyDescent="0.25">
      <c r="A1775" s="36" t="e">
        <f>VLOOKUP($C1775,'Variable Information'!$A$2:$E$480,5,FALSE)</f>
        <v>#N/A</v>
      </c>
      <c r="B1775" s="36" t="e">
        <f>VLOOKUP($C1775,'Variable Information'!$A$1:$C$480,3,FALSE)</f>
        <v>#N/A</v>
      </c>
      <c r="C1775" s="35"/>
      <c r="D1775" s="30" t="s">
        <v>1449</v>
      </c>
      <c r="E1775" s="15" t="s">
        <v>1675</v>
      </c>
    </row>
    <row r="1776" spans="1:5" x14ac:dyDescent="0.25">
      <c r="A1776" s="36" t="e">
        <f>VLOOKUP($C1776,'Variable Information'!$A$2:$E$480,5,FALSE)</f>
        <v>#N/A</v>
      </c>
      <c r="B1776" s="36" t="e">
        <f>VLOOKUP($C1776,'Variable Information'!$A$1:$C$480,3,FALSE)</f>
        <v>#N/A</v>
      </c>
      <c r="C1776" s="35"/>
      <c r="D1776" s="30" t="s">
        <v>1451</v>
      </c>
      <c r="E1776" s="15" t="s">
        <v>1676</v>
      </c>
    </row>
    <row r="1777" spans="1:5" x14ac:dyDescent="0.25">
      <c r="A1777" s="36" t="e">
        <f>VLOOKUP($C1777,'Variable Information'!$A$2:$E$480,5,FALSE)</f>
        <v>#N/A</v>
      </c>
      <c r="B1777" s="36" t="e">
        <f>VLOOKUP($C1777,'Variable Information'!$A$1:$C$480,3,FALSE)</f>
        <v>#N/A</v>
      </c>
      <c r="C1777" s="35"/>
      <c r="D1777" s="30" t="s">
        <v>1456</v>
      </c>
      <c r="E1777" s="15" t="s">
        <v>1677</v>
      </c>
    </row>
    <row r="1778" spans="1:5" x14ac:dyDescent="0.25">
      <c r="A1778" s="36" t="e">
        <f>VLOOKUP($C1778,'Variable Information'!$A$2:$E$480,5,FALSE)</f>
        <v>#N/A</v>
      </c>
      <c r="B1778" s="36" t="e">
        <f>VLOOKUP($C1778,'Variable Information'!$A$1:$C$480,3,FALSE)</f>
        <v>#N/A</v>
      </c>
      <c r="C1778" s="35"/>
      <c r="D1778" s="30" t="s">
        <v>1458</v>
      </c>
      <c r="E1778" s="15" t="s">
        <v>1669</v>
      </c>
    </row>
    <row r="1779" spans="1:5" x14ac:dyDescent="0.25">
      <c r="A1779" s="36" t="e">
        <f>VLOOKUP($C1779,'Variable Information'!$A$2:$E$480,5,FALSE)</f>
        <v>#N/A</v>
      </c>
      <c r="B1779" s="36" t="e">
        <f>VLOOKUP($C1779,'Variable Information'!$A$1:$C$480,3,FALSE)</f>
        <v>#N/A</v>
      </c>
      <c r="C1779" s="35"/>
      <c r="D1779" s="30" t="s">
        <v>1460</v>
      </c>
      <c r="E1779" s="15" t="s">
        <v>1678</v>
      </c>
    </row>
    <row r="1780" spans="1:5" x14ac:dyDescent="0.25">
      <c r="A1780" s="36" t="str">
        <f>VLOOKUP($C1780,'Variable Information'!$A$2:$E$480,5,FALSE)</f>
        <v>AJR_drm_4_h</v>
      </c>
      <c r="B1780" s="36" t="str">
        <f>VLOOKUP($C1780,'Variable Information'!$A$1:$C$480,3,FALSE)</f>
        <v>Q29_1_iter04_h. Agree or Disagree - The Gardai/police - &lt;&gt; was helpful</v>
      </c>
      <c r="C1780" s="35" t="s">
        <v>992</v>
      </c>
      <c r="D1780" s="30" t="s">
        <v>1447</v>
      </c>
      <c r="E1780" s="15" t="s">
        <v>1674</v>
      </c>
    </row>
    <row r="1781" spans="1:5" x14ac:dyDescent="0.25">
      <c r="A1781" s="36" t="e">
        <f>VLOOKUP($C1781,'Variable Information'!$A$2:$E$480,5,FALSE)</f>
        <v>#N/A</v>
      </c>
      <c r="B1781" s="36" t="e">
        <f>VLOOKUP($C1781,'Variable Information'!$A$1:$C$480,3,FALSE)</f>
        <v>#N/A</v>
      </c>
      <c r="C1781" s="35"/>
      <c r="D1781" s="30" t="s">
        <v>1449</v>
      </c>
      <c r="E1781" s="15" t="s">
        <v>1675</v>
      </c>
    </row>
    <row r="1782" spans="1:5" x14ac:dyDescent="0.25">
      <c r="A1782" s="36" t="e">
        <f>VLOOKUP($C1782,'Variable Information'!$A$2:$E$480,5,FALSE)</f>
        <v>#N/A</v>
      </c>
      <c r="B1782" s="36" t="e">
        <f>VLOOKUP($C1782,'Variable Information'!$A$1:$C$480,3,FALSE)</f>
        <v>#N/A</v>
      </c>
      <c r="C1782" s="35"/>
      <c r="D1782" s="30" t="s">
        <v>1451</v>
      </c>
      <c r="E1782" s="15" t="s">
        <v>1676</v>
      </c>
    </row>
    <row r="1783" spans="1:5" x14ac:dyDescent="0.25">
      <c r="A1783" s="36" t="e">
        <f>VLOOKUP($C1783,'Variable Information'!$A$2:$E$480,5,FALSE)</f>
        <v>#N/A</v>
      </c>
      <c r="B1783" s="36" t="e">
        <f>VLOOKUP($C1783,'Variable Information'!$A$1:$C$480,3,FALSE)</f>
        <v>#N/A</v>
      </c>
      <c r="C1783" s="35"/>
      <c r="D1783" s="30" t="s">
        <v>1456</v>
      </c>
      <c r="E1783" s="15" t="s">
        <v>1677</v>
      </c>
    </row>
    <row r="1784" spans="1:5" x14ac:dyDescent="0.25">
      <c r="A1784" s="36" t="e">
        <f>VLOOKUP($C1784,'Variable Information'!$A$2:$E$480,5,FALSE)</f>
        <v>#N/A</v>
      </c>
      <c r="B1784" s="36" t="e">
        <f>VLOOKUP($C1784,'Variable Information'!$A$1:$C$480,3,FALSE)</f>
        <v>#N/A</v>
      </c>
      <c r="C1784" s="35"/>
      <c r="D1784" s="30" t="s">
        <v>1458</v>
      </c>
      <c r="E1784" s="15" t="s">
        <v>1669</v>
      </c>
    </row>
    <row r="1785" spans="1:5" x14ac:dyDescent="0.25">
      <c r="A1785" s="36" t="e">
        <f>VLOOKUP($C1785,'Variable Information'!$A$2:$E$480,5,FALSE)</f>
        <v>#N/A</v>
      </c>
      <c r="B1785" s="36" t="e">
        <f>VLOOKUP($C1785,'Variable Information'!$A$1:$C$480,3,FALSE)</f>
        <v>#N/A</v>
      </c>
      <c r="C1785" s="35"/>
      <c r="D1785" s="30" t="s">
        <v>1460</v>
      </c>
      <c r="E1785" s="15" t="s">
        <v>1678</v>
      </c>
    </row>
    <row r="1786" spans="1:5" x14ac:dyDescent="0.25">
      <c r="A1786" s="36" t="str">
        <f>VLOOKUP($C1786,'Variable Information'!$A$2:$E$480,5,FALSE)</f>
        <v>AJR_drm_4_i</v>
      </c>
      <c r="B1786" s="36" t="str">
        <f>VLOOKUP($C1786,'Variable Information'!$A$1:$C$480,3,FALSE)</f>
        <v>Q29_1_iter04_i. Agree or Disagree - The Gardai/police - &lt;&gt; took my concerns and experiences seriously</v>
      </c>
      <c r="C1786" s="35" t="s">
        <v>995</v>
      </c>
      <c r="D1786" s="30" t="s">
        <v>1447</v>
      </c>
      <c r="E1786" s="15" t="s">
        <v>1674</v>
      </c>
    </row>
    <row r="1787" spans="1:5" x14ac:dyDescent="0.25">
      <c r="A1787" s="36" t="e">
        <f>VLOOKUP($C1787,'Variable Information'!$A$2:$E$480,5,FALSE)</f>
        <v>#N/A</v>
      </c>
      <c r="B1787" s="36" t="e">
        <f>VLOOKUP($C1787,'Variable Information'!$A$1:$C$480,3,FALSE)</f>
        <v>#N/A</v>
      </c>
      <c r="C1787" s="35"/>
      <c r="D1787" s="30" t="s">
        <v>1449</v>
      </c>
      <c r="E1787" s="15" t="s">
        <v>1675</v>
      </c>
    </row>
    <row r="1788" spans="1:5" x14ac:dyDescent="0.25">
      <c r="A1788" s="36" t="e">
        <f>VLOOKUP($C1788,'Variable Information'!$A$2:$E$480,5,FALSE)</f>
        <v>#N/A</v>
      </c>
      <c r="B1788" s="36" t="e">
        <f>VLOOKUP($C1788,'Variable Information'!$A$1:$C$480,3,FALSE)</f>
        <v>#N/A</v>
      </c>
      <c r="C1788" s="35"/>
      <c r="D1788" s="30" t="s">
        <v>1451</v>
      </c>
      <c r="E1788" s="15" t="s">
        <v>1676</v>
      </c>
    </row>
    <row r="1789" spans="1:5" x14ac:dyDescent="0.25">
      <c r="A1789" s="36" t="e">
        <f>VLOOKUP($C1789,'Variable Information'!$A$2:$E$480,5,FALSE)</f>
        <v>#N/A</v>
      </c>
      <c r="B1789" s="36" t="e">
        <f>VLOOKUP($C1789,'Variable Information'!$A$1:$C$480,3,FALSE)</f>
        <v>#N/A</v>
      </c>
      <c r="C1789" s="35"/>
      <c r="D1789" s="30" t="s">
        <v>1456</v>
      </c>
      <c r="E1789" s="15" t="s">
        <v>1677</v>
      </c>
    </row>
    <row r="1790" spans="1:5" x14ac:dyDescent="0.25">
      <c r="A1790" s="36" t="e">
        <f>VLOOKUP($C1790,'Variable Information'!$A$2:$E$480,5,FALSE)</f>
        <v>#N/A</v>
      </c>
      <c r="B1790" s="36" t="e">
        <f>VLOOKUP($C1790,'Variable Information'!$A$1:$C$480,3,FALSE)</f>
        <v>#N/A</v>
      </c>
      <c r="C1790" s="35"/>
      <c r="D1790" s="30" t="s">
        <v>1458</v>
      </c>
      <c r="E1790" s="15" t="s">
        <v>1669</v>
      </c>
    </row>
    <row r="1791" spans="1:5" x14ac:dyDescent="0.25">
      <c r="A1791" s="36" t="e">
        <f>VLOOKUP($C1791,'Variable Information'!$A$2:$E$480,5,FALSE)</f>
        <v>#N/A</v>
      </c>
      <c r="B1791" s="36" t="e">
        <f>VLOOKUP($C1791,'Variable Information'!$A$1:$C$480,3,FALSE)</f>
        <v>#N/A</v>
      </c>
      <c r="C1791" s="35"/>
      <c r="D1791" s="30" t="s">
        <v>1460</v>
      </c>
      <c r="E1791" s="15" t="s">
        <v>1678</v>
      </c>
    </row>
    <row r="1792" spans="1:5" x14ac:dyDescent="0.25">
      <c r="A1792" s="36" t="str">
        <f>VLOOKUP($C1792,'Variable Information'!$A$2:$E$480,5,FALSE)</f>
        <v>AJR_drm_5_a</v>
      </c>
      <c r="B1792" s="36" t="str">
        <f>VLOOKUP($C1792,'Variable Information'!$A$1:$C$480,3,FALSE)</f>
        <v>Q29_1_iter05_a. Agree or Disagree - A formal mediation service - Both parties had the same opportunity to explain their position</v>
      </c>
      <c r="C1792" s="35" t="s">
        <v>998</v>
      </c>
      <c r="D1792" s="30" t="s">
        <v>1447</v>
      </c>
      <c r="E1792" s="15" t="s">
        <v>1674</v>
      </c>
    </row>
    <row r="1793" spans="1:5" x14ac:dyDescent="0.25">
      <c r="A1793" s="36" t="e">
        <f>VLOOKUP($C1793,'Variable Information'!$A$2:$E$480,5,FALSE)</f>
        <v>#N/A</v>
      </c>
      <c r="B1793" s="36" t="e">
        <f>VLOOKUP($C1793,'Variable Information'!$A$1:$C$480,3,FALSE)</f>
        <v>#N/A</v>
      </c>
      <c r="C1793" s="35"/>
      <c r="D1793" s="30" t="s">
        <v>1449</v>
      </c>
      <c r="E1793" s="15" t="s">
        <v>1675</v>
      </c>
    </row>
    <row r="1794" spans="1:5" x14ac:dyDescent="0.25">
      <c r="A1794" s="36" t="e">
        <f>VLOOKUP($C1794,'Variable Information'!$A$2:$E$480,5,FALSE)</f>
        <v>#N/A</v>
      </c>
      <c r="B1794" s="36" t="e">
        <f>VLOOKUP($C1794,'Variable Information'!$A$1:$C$480,3,FALSE)</f>
        <v>#N/A</v>
      </c>
      <c r="C1794" s="35"/>
      <c r="D1794" s="30" t="s">
        <v>1451</v>
      </c>
      <c r="E1794" s="15" t="s">
        <v>1676</v>
      </c>
    </row>
    <row r="1795" spans="1:5" x14ac:dyDescent="0.25">
      <c r="A1795" s="36" t="e">
        <f>VLOOKUP($C1795,'Variable Information'!$A$2:$E$480,5,FALSE)</f>
        <v>#N/A</v>
      </c>
      <c r="B1795" s="36" t="e">
        <f>VLOOKUP($C1795,'Variable Information'!$A$1:$C$480,3,FALSE)</f>
        <v>#N/A</v>
      </c>
      <c r="C1795" s="35"/>
      <c r="D1795" s="30" t="s">
        <v>1456</v>
      </c>
      <c r="E1795" s="15" t="s">
        <v>1677</v>
      </c>
    </row>
    <row r="1796" spans="1:5" x14ac:dyDescent="0.25">
      <c r="A1796" s="36" t="e">
        <f>VLOOKUP($C1796,'Variable Information'!$A$2:$E$480,5,FALSE)</f>
        <v>#N/A</v>
      </c>
      <c r="B1796" s="36" t="e">
        <f>VLOOKUP($C1796,'Variable Information'!$A$1:$C$480,3,FALSE)</f>
        <v>#N/A</v>
      </c>
      <c r="C1796" s="35"/>
      <c r="D1796" s="30" t="s">
        <v>1458</v>
      </c>
      <c r="E1796" s="15" t="s">
        <v>1669</v>
      </c>
    </row>
    <row r="1797" spans="1:5" x14ac:dyDescent="0.25">
      <c r="A1797" s="36" t="e">
        <f>VLOOKUP($C1797,'Variable Information'!$A$2:$E$480,5,FALSE)</f>
        <v>#N/A</v>
      </c>
      <c r="B1797" s="36" t="e">
        <f>VLOOKUP($C1797,'Variable Information'!$A$1:$C$480,3,FALSE)</f>
        <v>#N/A</v>
      </c>
      <c r="C1797" s="35"/>
      <c r="D1797" s="30" t="s">
        <v>1460</v>
      </c>
      <c r="E1797" s="15" t="s">
        <v>1678</v>
      </c>
    </row>
    <row r="1798" spans="1:5" x14ac:dyDescent="0.25">
      <c r="A1798" s="36" t="str">
        <f>VLOOKUP($C1798,'Variable Information'!$A$2:$E$480,5,FALSE)</f>
        <v>AJR_drm_5_b</v>
      </c>
      <c r="B1798" s="36" t="str">
        <f>VLOOKUP($C1798,'Variable Information'!$A$1:$C$480,3,FALSE)</f>
        <v>Q29_1_iter05_b. Agree or Disagree - A formal mediation service - The justification for the decision/outcome was clearly explained to me</v>
      </c>
      <c r="C1798" s="35" t="s">
        <v>1001</v>
      </c>
      <c r="D1798" s="30" t="s">
        <v>1447</v>
      </c>
      <c r="E1798" s="15" t="s">
        <v>1674</v>
      </c>
    </row>
    <row r="1799" spans="1:5" x14ac:dyDescent="0.25">
      <c r="A1799" s="36" t="e">
        <f>VLOOKUP($C1799,'Variable Information'!$A$2:$E$480,5,FALSE)</f>
        <v>#N/A</v>
      </c>
      <c r="B1799" s="36" t="e">
        <f>VLOOKUP($C1799,'Variable Information'!$A$1:$C$480,3,FALSE)</f>
        <v>#N/A</v>
      </c>
      <c r="C1799" s="35"/>
      <c r="D1799" s="30" t="s">
        <v>1449</v>
      </c>
      <c r="E1799" s="15" t="s">
        <v>1675</v>
      </c>
    </row>
    <row r="1800" spans="1:5" x14ac:dyDescent="0.25">
      <c r="A1800" s="36" t="e">
        <f>VLOOKUP($C1800,'Variable Information'!$A$2:$E$480,5,FALSE)</f>
        <v>#N/A</v>
      </c>
      <c r="B1800" s="36" t="e">
        <f>VLOOKUP($C1800,'Variable Information'!$A$1:$C$480,3,FALSE)</f>
        <v>#N/A</v>
      </c>
      <c r="C1800" s="35"/>
      <c r="D1800" s="30" t="s">
        <v>1451</v>
      </c>
      <c r="E1800" s="15" t="s">
        <v>1676</v>
      </c>
    </row>
    <row r="1801" spans="1:5" x14ac:dyDescent="0.25">
      <c r="A1801" s="36" t="e">
        <f>VLOOKUP($C1801,'Variable Information'!$A$2:$E$480,5,FALSE)</f>
        <v>#N/A</v>
      </c>
      <c r="B1801" s="36" t="e">
        <f>VLOOKUP($C1801,'Variable Information'!$A$1:$C$480,3,FALSE)</f>
        <v>#N/A</v>
      </c>
      <c r="C1801" s="35"/>
      <c r="D1801" s="30" t="s">
        <v>1456</v>
      </c>
      <c r="E1801" s="15" t="s">
        <v>1677</v>
      </c>
    </row>
    <row r="1802" spans="1:5" x14ac:dyDescent="0.25">
      <c r="A1802" s="36" t="e">
        <f>VLOOKUP($C1802,'Variable Information'!$A$2:$E$480,5,FALSE)</f>
        <v>#N/A</v>
      </c>
      <c r="B1802" s="36" t="e">
        <f>VLOOKUP($C1802,'Variable Information'!$A$1:$C$480,3,FALSE)</f>
        <v>#N/A</v>
      </c>
      <c r="C1802" s="35"/>
      <c r="D1802" s="30" t="s">
        <v>1458</v>
      </c>
      <c r="E1802" s="15" t="s">
        <v>1669</v>
      </c>
    </row>
    <row r="1803" spans="1:5" x14ac:dyDescent="0.25">
      <c r="A1803" s="36" t="e">
        <f>VLOOKUP($C1803,'Variable Information'!$A$2:$E$480,5,FALSE)</f>
        <v>#N/A</v>
      </c>
      <c r="B1803" s="36" t="e">
        <f>VLOOKUP($C1803,'Variable Information'!$A$1:$C$480,3,FALSE)</f>
        <v>#N/A</v>
      </c>
      <c r="C1803" s="35"/>
      <c r="D1803" s="30" t="s">
        <v>1460</v>
      </c>
      <c r="E1803" s="15" t="s">
        <v>1678</v>
      </c>
    </row>
    <row r="1804" spans="1:5" x14ac:dyDescent="0.25">
      <c r="A1804" s="36" t="str">
        <f>VLOOKUP($C1804,'Variable Information'!$A$2:$E$480,5,FALSE)</f>
        <v>AJR_drm_5_c</v>
      </c>
      <c r="B1804" s="36" t="str">
        <f>VLOOKUP($C1804,'Variable Information'!$A$1:$C$480,3,FALSE)</f>
        <v>Q29_1_iter05_c. Agree or Disagree - A formal mediation service - The process was efficient</v>
      </c>
      <c r="C1804" s="35" t="s">
        <v>1004</v>
      </c>
      <c r="D1804" s="30" t="s">
        <v>1447</v>
      </c>
      <c r="E1804" s="15" t="s">
        <v>1674</v>
      </c>
    </row>
    <row r="1805" spans="1:5" x14ac:dyDescent="0.25">
      <c r="A1805" s="36" t="e">
        <f>VLOOKUP($C1805,'Variable Information'!$A$2:$E$480,5,FALSE)</f>
        <v>#N/A</v>
      </c>
      <c r="B1805" s="36" t="e">
        <f>VLOOKUP($C1805,'Variable Information'!$A$1:$C$480,3,FALSE)</f>
        <v>#N/A</v>
      </c>
      <c r="C1805" s="35"/>
      <c r="D1805" s="30" t="s">
        <v>1449</v>
      </c>
      <c r="E1805" s="15" t="s">
        <v>1675</v>
      </c>
    </row>
    <row r="1806" spans="1:5" x14ac:dyDescent="0.25">
      <c r="A1806" s="36" t="e">
        <f>VLOOKUP($C1806,'Variable Information'!$A$2:$E$480,5,FALSE)</f>
        <v>#N/A</v>
      </c>
      <c r="B1806" s="36" t="e">
        <f>VLOOKUP($C1806,'Variable Information'!$A$1:$C$480,3,FALSE)</f>
        <v>#N/A</v>
      </c>
      <c r="C1806" s="35"/>
      <c r="D1806" s="30" t="s">
        <v>1451</v>
      </c>
      <c r="E1806" s="15" t="s">
        <v>1676</v>
      </c>
    </row>
    <row r="1807" spans="1:5" x14ac:dyDescent="0.25">
      <c r="A1807" s="36" t="e">
        <f>VLOOKUP($C1807,'Variable Information'!$A$2:$E$480,5,FALSE)</f>
        <v>#N/A</v>
      </c>
      <c r="B1807" s="36" t="e">
        <f>VLOOKUP($C1807,'Variable Information'!$A$1:$C$480,3,FALSE)</f>
        <v>#N/A</v>
      </c>
      <c r="C1807" s="35"/>
      <c r="D1807" s="30" t="s">
        <v>1456</v>
      </c>
      <c r="E1807" s="15" t="s">
        <v>1677</v>
      </c>
    </row>
    <row r="1808" spans="1:5" x14ac:dyDescent="0.25">
      <c r="A1808" s="36" t="e">
        <f>VLOOKUP($C1808,'Variable Information'!$A$2:$E$480,5,FALSE)</f>
        <v>#N/A</v>
      </c>
      <c r="B1808" s="36" t="e">
        <f>VLOOKUP($C1808,'Variable Information'!$A$1:$C$480,3,FALSE)</f>
        <v>#N/A</v>
      </c>
      <c r="C1808" s="35"/>
      <c r="D1808" s="30" t="s">
        <v>1458</v>
      </c>
      <c r="E1808" s="15" t="s">
        <v>1669</v>
      </c>
    </row>
    <row r="1809" spans="1:5" x14ac:dyDescent="0.25">
      <c r="A1809" s="36" t="e">
        <f>VLOOKUP($C1809,'Variable Information'!$A$2:$E$480,5,FALSE)</f>
        <v>#N/A</v>
      </c>
      <c r="B1809" s="36" t="e">
        <f>VLOOKUP($C1809,'Variable Information'!$A$1:$C$480,3,FALSE)</f>
        <v>#N/A</v>
      </c>
      <c r="C1809" s="35"/>
      <c r="D1809" s="30" t="s">
        <v>1460</v>
      </c>
      <c r="E1809" s="15" t="s">
        <v>1678</v>
      </c>
    </row>
    <row r="1810" spans="1:5" x14ac:dyDescent="0.25">
      <c r="A1810" s="36" t="str">
        <f>VLOOKUP($C1810,'Variable Information'!$A$2:$E$480,5,FALSE)</f>
        <v>AJR_drm_5_d</v>
      </c>
      <c r="B1810" s="36" t="str">
        <f>VLOOKUP($C1810,'Variable Information'!$A$1:$C$480,3,FALSE)</f>
        <v>Q29_1_iter05_d. Agree or Disagree - A formal mediation service - The process was affordable</v>
      </c>
      <c r="C1810" s="35" t="s">
        <v>1007</v>
      </c>
      <c r="D1810" s="30" t="s">
        <v>1447</v>
      </c>
      <c r="E1810" s="15" t="s">
        <v>1674</v>
      </c>
    </row>
    <row r="1811" spans="1:5" x14ac:dyDescent="0.25">
      <c r="A1811" s="36" t="e">
        <f>VLOOKUP($C1811,'Variable Information'!$A$2:$E$480,5,FALSE)</f>
        <v>#N/A</v>
      </c>
      <c r="B1811" s="36" t="e">
        <f>VLOOKUP($C1811,'Variable Information'!$A$1:$C$480,3,FALSE)</f>
        <v>#N/A</v>
      </c>
      <c r="C1811" s="35"/>
      <c r="D1811" s="30" t="s">
        <v>1449</v>
      </c>
      <c r="E1811" s="15" t="s">
        <v>1675</v>
      </c>
    </row>
    <row r="1812" spans="1:5" x14ac:dyDescent="0.25">
      <c r="A1812" s="36" t="e">
        <f>VLOOKUP($C1812,'Variable Information'!$A$2:$E$480,5,FALSE)</f>
        <v>#N/A</v>
      </c>
      <c r="B1812" s="36" t="e">
        <f>VLOOKUP($C1812,'Variable Information'!$A$1:$C$480,3,FALSE)</f>
        <v>#N/A</v>
      </c>
      <c r="C1812" s="35"/>
      <c r="D1812" s="30" t="s">
        <v>1451</v>
      </c>
      <c r="E1812" s="15" t="s">
        <v>1676</v>
      </c>
    </row>
    <row r="1813" spans="1:5" x14ac:dyDescent="0.25">
      <c r="A1813" s="36" t="e">
        <f>VLOOKUP($C1813,'Variable Information'!$A$2:$E$480,5,FALSE)</f>
        <v>#N/A</v>
      </c>
      <c r="B1813" s="36" t="e">
        <f>VLOOKUP($C1813,'Variable Information'!$A$1:$C$480,3,FALSE)</f>
        <v>#N/A</v>
      </c>
      <c r="C1813" s="35"/>
      <c r="D1813" s="30" t="s">
        <v>1456</v>
      </c>
      <c r="E1813" s="15" t="s">
        <v>1677</v>
      </c>
    </row>
    <row r="1814" spans="1:5" x14ac:dyDescent="0.25">
      <c r="A1814" s="36" t="e">
        <f>VLOOKUP($C1814,'Variable Information'!$A$2:$E$480,5,FALSE)</f>
        <v>#N/A</v>
      </c>
      <c r="B1814" s="36" t="e">
        <f>VLOOKUP($C1814,'Variable Information'!$A$1:$C$480,3,FALSE)</f>
        <v>#N/A</v>
      </c>
      <c r="C1814" s="35"/>
      <c r="D1814" s="30" t="s">
        <v>1458</v>
      </c>
      <c r="E1814" s="15" t="s">
        <v>1669</v>
      </c>
    </row>
    <row r="1815" spans="1:5" x14ac:dyDescent="0.25">
      <c r="A1815" s="36" t="e">
        <f>VLOOKUP($C1815,'Variable Information'!$A$2:$E$480,5,FALSE)</f>
        <v>#N/A</v>
      </c>
      <c r="B1815" s="36" t="e">
        <f>VLOOKUP($C1815,'Variable Information'!$A$1:$C$480,3,FALSE)</f>
        <v>#N/A</v>
      </c>
      <c r="C1815" s="35"/>
      <c r="D1815" s="30" t="s">
        <v>1460</v>
      </c>
      <c r="E1815" s="15" t="s">
        <v>1678</v>
      </c>
    </row>
    <row r="1816" spans="1:5" x14ac:dyDescent="0.25">
      <c r="A1816" s="36" t="str">
        <f>VLOOKUP($C1816,'Variable Information'!$A$2:$E$480,5,FALSE)</f>
        <v>AJR_drm_5_e</v>
      </c>
      <c r="B1816" s="36" t="str">
        <f>VLOOKUP($C1816,'Variable Information'!$A$1:$C$480,3,FALSE)</f>
        <v>Q29_1_iter05_e. Agree or Disagree - A formal mediation service - The duration/length of the process was reasonable</v>
      </c>
      <c r="C1816" s="35" t="s">
        <v>1010</v>
      </c>
      <c r="D1816" s="30" t="s">
        <v>1447</v>
      </c>
      <c r="E1816" s="15" t="s">
        <v>1674</v>
      </c>
    </row>
    <row r="1817" spans="1:5" x14ac:dyDescent="0.25">
      <c r="A1817" s="36" t="e">
        <f>VLOOKUP($C1817,'Variable Information'!$A$2:$E$480,5,FALSE)</f>
        <v>#N/A</v>
      </c>
      <c r="B1817" s="36" t="e">
        <f>VLOOKUP($C1817,'Variable Information'!$A$1:$C$480,3,FALSE)</f>
        <v>#N/A</v>
      </c>
      <c r="C1817" s="35"/>
      <c r="D1817" s="30" t="s">
        <v>1449</v>
      </c>
      <c r="E1817" s="15" t="s">
        <v>1675</v>
      </c>
    </row>
    <row r="1818" spans="1:5" x14ac:dyDescent="0.25">
      <c r="A1818" s="36" t="e">
        <f>VLOOKUP($C1818,'Variable Information'!$A$2:$E$480,5,FALSE)</f>
        <v>#N/A</v>
      </c>
      <c r="B1818" s="36" t="e">
        <f>VLOOKUP($C1818,'Variable Information'!$A$1:$C$480,3,FALSE)</f>
        <v>#N/A</v>
      </c>
      <c r="C1818" s="35"/>
      <c r="D1818" s="30" t="s">
        <v>1451</v>
      </c>
      <c r="E1818" s="15" t="s">
        <v>1676</v>
      </c>
    </row>
    <row r="1819" spans="1:5" x14ac:dyDescent="0.25">
      <c r="A1819" s="36" t="e">
        <f>VLOOKUP($C1819,'Variable Information'!$A$2:$E$480,5,FALSE)</f>
        <v>#N/A</v>
      </c>
      <c r="B1819" s="36" t="e">
        <f>VLOOKUP($C1819,'Variable Information'!$A$1:$C$480,3,FALSE)</f>
        <v>#N/A</v>
      </c>
      <c r="C1819" s="35"/>
      <c r="D1819" s="30" t="s">
        <v>1456</v>
      </c>
      <c r="E1819" s="15" t="s">
        <v>1677</v>
      </c>
    </row>
    <row r="1820" spans="1:5" x14ac:dyDescent="0.25">
      <c r="A1820" s="36" t="e">
        <f>VLOOKUP($C1820,'Variable Information'!$A$2:$E$480,5,FALSE)</f>
        <v>#N/A</v>
      </c>
      <c r="B1820" s="36" t="e">
        <f>VLOOKUP($C1820,'Variable Information'!$A$1:$C$480,3,FALSE)</f>
        <v>#N/A</v>
      </c>
      <c r="C1820" s="35"/>
      <c r="D1820" s="30" t="s">
        <v>1458</v>
      </c>
      <c r="E1820" s="15" t="s">
        <v>1669</v>
      </c>
    </row>
    <row r="1821" spans="1:5" x14ac:dyDescent="0.25">
      <c r="A1821" s="36" t="e">
        <f>VLOOKUP($C1821,'Variable Information'!$A$2:$E$480,5,FALSE)</f>
        <v>#N/A</v>
      </c>
      <c r="B1821" s="36" t="e">
        <f>VLOOKUP($C1821,'Variable Information'!$A$1:$C$480,3,FALSE)</f>
        <v>#N/A</v>
      </c>
      <c r="C1821" s="35"/>
      <c r="D1821" s="30" t="s">
        <v>1460</v>
      </c>
      <c r="E1821" s="15" t="s">
        <v>1678</v>
      </c>
    </row>
    <row r="1822" spans="1:5" x14ac:dyDescent="0.25">
      <c r="A1822" s="36" t="str">
        <f>VLOOKUP($C1822,'Variable Information'!$A$2:$E$480,5,FALSE)</f>
        <v>AJR_drm_5_f</v>
      </c>
      <c r="B1822" s="36" t="str">
        <f>VLOOKUP($C1822,'Variable Information'!$A$1:$C$480,3,FALSE)</f>
        <v>Q29_1_iter05_f. Agree or Disagree - A formal mediation service - The process was fair</v>
      </c>
      <c r="C1822" s="35" t="s">
        <v>1013</v>
      </c>
      <c r="D1822" s="30" t="s">
        <v>1447</v>
      </c>
      <c r="E1822" s="15" t="s">
        <v>1674</v>
      </c>
    </row>
    <row r="1823" spans="1:5" x14ac:dyDescent="0.25">
      <c r="A1823" s="36" t="e">
        <f>VLOOKUP($C1823,'Variable Information'!$A$2:$E$480,5,FALSE)</f>
        <v>#N/A</v>
      </c>
      <c r="B1823" s="36" t="e">
        <f>VLOOKUP($C1823,'Variable Information'!$A$1:$C$480,3,FALSE)</f>
        <v>#N/A</v>
      </c>
      <c r="C1823" s="35"/>
      <c r="D1823" s="30" t="s">
        <v>1449</v>
      </c>
      <c r="E1823" s="15" t="s">
        <v>1675</v>
      </c>
    </row>
    <row r="1824" spans="1:5" x14ac:dyDescent="0.25">
      <c r="A1824" s="36" t="e">
        <f>VLOOKUP($C1824,'Variable Information'!$A$2:$E$480,5,FALSE)</f>
        <v>#N/A</v>
      </c>
      <c r="B1824" s="36" t="e">
        <f>VLOOKUP($C1824,'Variable Information'!$A$1:$C$480,3,FALSE)</f>
        <v>#N/A</v>
      </c>
      <c r="C1824" s="35"/>
      <c r="D1824" s="30" t="s">
        <v>1451</v>
      </c>
      <c r="E1824" s="15" t="s">
        <v>1676</v>
      </c>
    </row>
    <row r="1825" spans="1:5" x14ac:dyDescent="0.25">
      <c r="A1825" s="36" t="e">
        <f>VLOOKUP($C1825,'Variable Information'!$A$2:$E$480,5,FALSE)</f>
        <v>#N/A</v>
      </c>
      <c r="B1825" s="36" t="e">
        <f>VLOOKUP($C1825,'Variable Information'!$A$1:$C$480,3,FALSE)</f>
        <v>#N/A</v>
      </c>
      <c r="C1825" s="35"/>
      <c r="D1825" s="30" t="s">
        <v>1456</v>
      </c>
      <c r="E1825" s="15" t="s">
        <v>1677</v>
      </c>
    </row>
    <row r="1826" spans="1:5" x14ac:dyDescent="0.25">
      <c r="A1826" s="36" t="e">
        <f>VLOOKUP($C1826,'Variable Information'!$A$2:$E$480,5,FALSE)</f>
        <v>#N/A</v>
      </c>
      <c r="B1826" s="36" t="e">
        <f>VLOOKUP($C1826,'Variable Information'!$A$1:$C$480,3,FALSE)</f>
        <v>#N/A</v>
      </c>
      <c r="C1826" s="35"/>
      <c r="D1826" s="30" t="s">
        <v>1458</v>
      </c>
      <c r="E1826" s="15" t="s">
        <v>1669</v>
      </c>
    </row>
    <row r="1827" spans="1:5" x14ac:dyDescent="0.25">
      <c r="A1827" s="36" t="e">
        <f>VLOOKUP($C1827,'Variable Information'!$A$2:$E$480,5,FALSE)</f>
        <v>#N/A</v>
      </c>
      <c r="B1827" s="36" t="e">
        <f>VLOOKUP($C1827,'Variable Information'!$A$1:$C$480,3,FALSE)</f>
        <v>#N/A</v>
      </c>
      <c r="C1827" s="35"/>
      <c r="D1827" s="30" t="s">
        <v>1460</v>
      </c>
      <c r="E1827" s="15" t="s">
        <v>1678</v>
      </c>
    </row>
    <row r="1828" spans="1:5" x14ac:dyDescent="0.25">
      <c r="A1828" s="36" t="str">
        <f>VLOOKUP($C1828,'Variable Information'!$A$2:$E$480,5,FALSE)</f>
        <v>AJR_drm_5_g</v>
      </c>
      <c r="B1828" s="36" t="str">
        <f>VLOOKUP($C1828,'Variable Information'!$A$1:$C$480,3,FALSE)</f>
        <v>Q29_1_iter05_g. Agree or Disagree - A formal mediation service - The outcome was fair</v>
      </c>
      <c r="C1828" s="35" t="s">
        <v>1016</v>
      </c>
      <c r="D1828" s="30" t="s">
        <v>1447</v>
      </c>
      <c r="E1828" s="15" t="s">
        <v>1674</v>
      </c>
    </row>
    <row r="1829" spans="1:5" x14ac:dyDescent="0.25">
      <c r="A1829" s="36" t="e">
        <f>VLOOKUP($C1829,'Variable Information'!$A$2:$E$480,5,FALSE)</f>
        <v>#N/A</v>
      </c>
      <c r="B1829" s="36" t="e">
        <f>VLOOKUP($C1829,'Variable Information'!$A$1:$C$480,3,FALSE)</f>
        <v>#N/A</v>
      </c>
      <c r="C1829" s="35"/>
      <c r="D1829" s="30" t="s">
        <v>1449</v>
      </c>
      <c r="E1829" s="15" t="s">
        <v>1675</v>
      </c>
    </row>
    <row r="1830" spans="1:5" x14ac:dyDescent="0.25">
      <c r="A1830" s="36" t="e">
        <f>VLOOKUP($C1830,'Variable Information'!$A$2:$E$480,5,FALSE)</f>
        <v>#N/A</v>
      </c>
      <c r="B1830" s="36" t="e">
        <f>VLOOKUP($C1830,'Variable Information'!$A$1:$C$480,3,FALSE)</f>
        <v>#N/A</v>
      </c>
      <c r="C1830" s="35"/>
      <c r="D1830" s="30" t="s">
        <v>1451</v>
      </c>
      <c r="E1830" s="15" t="s">
        <v>1676</v>
      </c>
    </row>
    <row r="1831" spans="1:5" x14ac:dyDescent="0.25">
      <c r="A1831" s="36" t="e">
        <f>VLOOKUP($C1831,'Variable Information'!$A$2:$E$480,5,FALSE)</f>
        <v>#N/A</v>
      </c>
      <c r="B1831" s="36" t="e">
        <f>VLOOKUP($C1831,'Variable Information'!$A$1:$C$480,3,FALSE)</f>
        <v>#N/A</v>
      </c>
      <c r="C1831" s="35"/>
      <c r="D1831" s="30" t="s">
        <v>1456</v>
      </c>
      <c r="E1831" s="15" t="s">
        <v>1677</v>
      </c>
    </row>
    <row r="1832" spans="1:5" x14ac:dyDescent="0.25">
      <c r="A1832" s="36" t="e">
        <f>VLOOKUP($C1832,'Variable Information'!$A$2:$E$480,5,FALSE)</f>
        <v>#N/A</v>
      </c>
      <c r="B1832" s="36" t="e">
        <f>VLOOKUP($C1832,'Variable Information'!$A$1:$C$480,3,FALSE)</f>
        <v>#N/A</v>
      </c>
      <c r="C1832" s="35"/>
      <c r="D1832" s="30" t="s">
        <v>1458</v>
      </c>
      <c r="E1832" s="15" t="s">
        <v>1669</v>
      </c>
    </row>
    <row r="1833" spans="1:5" x14ac:dyDescent="0.25">
      <c r="A1833" s="36" t="e">
        <f>VLOOKUP($C1833,'Variable Information'!$A$2:$E$480,5,FALSE)</f>
        <v>#N/A</v>
      </c>
      <c r="B1833" s="36" t="e">
        <f>VLOOKUP($C1833,'Variable Information'!$A$1:$C$480,3,FALSE)</f>
        <v>#N/A</v>
      </c>
      <c r="C1833" s="35"/>
      <c r="D1833" s="30" t="s">
        <v>1460</v>
      </c>
      <c r="E1833" s="15" t="s">
        <v>1678</v>
      </c>
    </row>
    <row r="1834" spans="1:5" x14ac:dyDescent="0.25">
      <c r="A1834" s="36" t="str">
        <f>VLOOKUP($C1834,'Variable Information'!$A$2:$E$480,5,FALSE)</f>
        <v>AJR_drm_5_h</v>
      </c>
      <c r="B1834" s="36" t="str">
        <f>VLOOKUP($C1834,'Variable Information'!$A$1:$C$480,3,FALSE)</f>
        <v>Q29_1_iter05_h. Agree or Disagree - A formal mediation service - &lt;&gt; was helpful</v>
      </c>
      <c r="C1834" s="35" t="s">
        <v>1019</v>
      </c>
      <c r="D1834" s="30" t="s">
        <v>1447</v>
      </c>
      <c r="E1834" s="15" t="s">
        <v>1674</v>
      </c>
    </row>
    <row r="1835" spans="1:5" x14ac:dyDescent="0.25">
      <c r="A1835" s="36" t="e">
        <f>VLOOKUP($C1835,'Variable Information'!$A$2:$E$480,5,FALSE)</f>
        <v>#N/A</v>
      </c>
      <c r="B1835" s="36" t="e">
        <f>VLOOKUP($C1835,'Variable Information'!$A$1:$C$480,3,FALSE)</f>
        <v>#N/A</v>
      </c>
      <c r="C1835" s="35"/>
      <c r="D1835" s="30" t="s">
        <v>1449</v>
      </c>
      <c r="E1835" s="15" t="s">
        <v>1675</v>
      </c>
    </row>
    <row r="1836" spans="1:5" x14ac:dyDescent="0.25">
      <c r="A1836" s="36" t="e">
        <f>VLOOKUP($C1836,'Variable Information'!$A$2:$E$480,5,FALSE)</f>
        <v>#N/A</v>
      </c>
      <c r="B1836" s="36" t="e">
        <f>VLOOKUP($C1836,'Variable Information'!$A$1:$C$480,3,FALSE)</f>
        <v>#N/A</v>
      </c>
      <c r="C1836" s="35"/>
      <c r="D1836" s="30" t="s">
        <v>1451</v>
      </c>
      <c r="E1836" s="15" t="s">
        <v>1676</v>
      </c>
    </row>
    <row r="1837" spans="1:5" x14ac:dyDescent="0.25">
      <c r="A1837" s="36" t="e">
        <f>VLOOKUP($C1837,'Variable Information'!$A$2:$E$480,5,FALSE)</f>
        <v>#N/A</v>
      </c>
      <c r="B1837" s="36" t="e">
        <f>VLOOKUP($C1837,'Variable Information'!$A$1:$C$480,3,FALSE)</f>
        <v>#N/A</v>
      </c>
      <c r="C1837" s="35"/>
      <c r="D1837" s="30" t="s">
        <v>1456</v>
      </c>
      <c r="E1837" s="15" t="s">
        <v>1677</v>
      </c>
    </row>
    <row r="1838" spans="1:5" x14ac:dyDescent="0.25">
      <c r="A1838" s="36" t="e">
        <f>VLOOKUP($C1838,'Variable Information'!$A$2:$E$480,5,FALSE)</f>
        <v>#N/A</v>
      </c>
      <c r="B1838" s="36" t="e">
        <f>VLOOKUP($C1838,'Variable Information'!$A$1:$C$480,3,FALSE)</f>
        <v>#N/A</v>
      </c>
      <c r="C1838" s="35"/>
      <c r="D1838" s="30" t="s">
        <v>1458</v>
      </c>
      <c r="E1838" s="15" t="s">
        <v>1669</v>
      </c>
    </row>
    <row r="1839" spans="1:5" x14ac:dyDescent="0.25">
      <c r="A1839" s="36" t="e">
        <f>VLOOKUP($C1839,'Variable Information'!$A$2:$E$480,5,FALSE)</f>
        <v>#N/A</v>
      </c>
      <c r="B1839" s="36" t="e">
        <f>VLOOKUP($C1839,'Variable Information'!$A$1:$C$480,3,FALSE)</f>
        <v>#N/A</v>
      </c>
      <c r="C1839" s="35"/>
      <c r="D1839" s="30" t="s">
        <v>1460</v>
      </c>
      <c r="E1839" s="15" t="s">
        <v>1678</v>
      </c>
    </row>
    <row r="1840" spans="1:5" x14ac:dyDescent="0.25">
      <c r="A1840" s="36" t="str">
        <f>VLOOKUP($C1840,'Variable Information'!$A$2:$E$480,5,FALSE)</f>
        <v>AJR_drm_5_i</v>
      </c>
      <c r="B1840" s="36" t="str">
        <f>VLOOKUP($C1840,'Variable Information'!$A$1:$C$480,3,FALSE)</f>
        <v>Q29_1_iter05_i. Agree or Disagree - A formal mediation service - &lt;&gt; took my concerns and experiences seriously</v>
      </c>
      <c r="C1840" s="35" t="s">
        <v>1022</v>
      </c>
      <c r="D1840" s="30" t="s">
        <v>1447</v>
      </c>
      <c r="E1840" s="15" t="s">
        <v>1674</v>
      </c>
    </row>
    <row r="1841" spans="1:5" x14ac:dyDescent="0.25">
      <c r="A1841" s="36" t="e">
        <f>VLOOKUP($C1841,'Variable Information'!$A$2:$E$480,5,FALSE)</f>
        <v>#N/A</v>
      </c>
      <c r="B1841" s="36" t="e">
        <f>VLOOKUP($C1841,'Variable Information'!$A$1:$C$480,3,FALSE)</f>
        <v>#N/A</v>
      </c>
      <c r="C1841" s="35"/>
      <c r="D1841" s="30" t="s">
        <v>1449</v>
      </c>
      <c r="E1841" s="15" t="s">
        <v>1675</v>
      </c>
    </row>
    <row r="1842" spans="1:5" x14ac:dyDescent="0.25">
      <c r="A1842" s="36" t="e">
        <f>VLOOKUP($C1842,'Variable Information'!$A$2:$E$480,5,FALSE)</f>
        <v>#N/A</v>
      </c>
      <c r="B1842" s="36" t="e">
        <f>VLOOKUP($C1842,'Variable Information'!$A$1:$C$480,3,FALSE)</f>
        <v>#N/A</v>
      </c>
      <c r="C1842" s="35"/>
      <c r="D1842" s="30" t="s">
        <v>1451</v>
      </c>
      <c r="E1842" s="15" t="s">
        <v>1676</v>
      </c>
    </row>
    <row r="1843" spans="1:5" x14ac:dyDescent="0.25">
      <c r="A1843" s="36" t="e">
        <f>VLOOKUP($C1843,'Variable Information'!$A$2:$E$480,5,FALSE)</f>
        <v>#N/A</v>
      </c>
      <c r="B1843" s="36" t="e">
        <f>VLOOKUP($C1843,'Variable Information'!$A$1:$C$480,3,FALSE)</f>
        <v>#N/A</v>
      </c>
      <c r="C1843" s="35"/>
      <c r="D1843" s="30" t="s">
        <v>1456</v>
      </c>
      <c r="E1843" s="15" t="s">
        <v>1677</v>
      </c>
    </row>
    <row r="1844" spans="1:5" x14ac:dyDescent="0.25">
      <c r="A1844" s="36" t="e">
        <f>VLOOKUP($C1844,'Variable Information'!$A$2:$E$480,5,FALSE)</f>
        <v>#N/A</v>
      </c>
      <c r="B1844" s="36" t="e">
        <f>VLOOKUP($C1844,'Variable Information'!$A$1:$C$480,3,FALSE)</f>
        <v>#N/A</v>
      </c>
      <c r="C1844" s="35"/>
      <c r="D1844" s="30" t="s">
        <v>1458</v>
      </c>
      <c r="E1844" s="15" t="s">
        <v>1669</v>
      </c>
    </row>
    <row r="1845" spans="1:5" x14ac:dyDescent="0.25">
      <c r="A1845" s="36" t="e">
        <f>VLOOKUP($C1845,'Variable Information'!$A$2:$E$480,5,FALSE)</f>
        <v>#N/A</v>
      </c>
      <c r="B1845" s="36" t="e">
        <f>VLOOKUP($C1845,'Variable Information'!$A$1:$C$480,3,FALSE)</f>
        <v>#N/A</v>
      </c>
      <c r="C1845" s="35"/>
      <c r="D1845" s="30" t="s">
        <v>1460</v>
      </c>
      <c r="E1845" s="15" t="s">
        <v>1678</v>
      </c>
    </row>
    <row r="1846" spans="1:5" x14ac:dyDescent="0.25">
      <c r="A1846" s="36" t="str">
        <f>VLOOKUP($C1846,'Variable Information'!$A$2:$E$480,5,FALSE)</f>
        <v>AJR_drm_6_a</v>
      </c>
      <c r="B1846" s="36" t="str">
        <f>VLOOKUP($C1846,'Variable Information'!$A$1:$C$480,3,FALSE)</f>
        <v>Q29_1_iter06_a. Agree or Disagree - A lawyer / lawyer's office - Both parties had the same opportunity to explain their position</v>
      </c>
      <c r="C1846" s="35" t="s">
        <v>1025</v>
      </c>
      <c r="D1846" s="30" t="s">
        <v>1447</v>
      </c>
      <c r="E1846" s="15" t="s">
        <v>1674</v>
      </c>
    </row>
    <row r="1847" spans="1:5" x14ac:dyDescent="0.25">
      <c r="A1847" s="36" t="e">
        <f>VLOOKUP($C1847,'Variable Information'!$A$2:$E$480,5,FALSE)</f>
        <v>#N/A</v>
      </c>
      <c r="B1847" s="36" t="e">
        <f>VLOOKUP($C1847,'Variable Information'!$A$1:$C$480,3,FALSE)</f>
        <v>#N/A</v>
      </c>
      <c r="C1847" s="35"/>
      <c r="D1847" s="30" t="s">
        <v>1449</v>
      </c>
      <c r="E1847" s="15" t="s">
        <v>1675</v>
      </c>
    </row>
    <row r="1848" spans="1:5" x14ac:dyDescent="0.25">
      <c r="A1848" s="36" t="e">
        <f>VLOOKUP($C1848,'Variable Information'!$A$2:$E$480,5,FALSE)</f>
        <v>#N/A</v>
      </c>
      <c r="B1848" s="36" t="e">
        <f>VLOOKUP($C1848,'Variable Information'!$A$1:$C$480,3,FALSE)</f>
        <v>#N/A</v>
      </c>
      <c r="C1848" s="35"/>
      <c r="D1848" s="30" t="s">
        <v>1451</v>
      </c>
      <c r="E1848" s="15" t="s">
        <v>1676</v>
      </c>
    </row>
    <row r="1849" spans="1:5" x14ac:dyDescent="0.25">
      <c r="A1849" s="36" t="e">
        <f>VLOOKUP($C1849,'Variable Information'!$A$2:$E$480,5,FALSE)</f>
        <v>#N/A</v>
      </c>
      <c r="B1849" s="36" t="e">
        <f>VLOOKUP($C1849,'Variable Information'!$A$1:$C$480,3,FALSE)</f>
        <v>#N/A</v>
      </c>
      <c r="C1849" s="35"/>
      <c r="D1849" s="30" t="s">
        <v>1456</v>
      </c>
      <c r="E1849" s="15" t="s">
        <v>1677</v>
      </c>
    </row>
    <row r="1850" spans="1:5" x14ac:dyDescent="0.25">
      <c r="A1850" s="36" t="e">
        <f>VLOOKUP($C1850,'Variable Information'!$A$2:$E$480,5,FALSE)</f>
        <v>#N/A</v>
      </c>
      <c r="B1850" s="36" t="e">
        <f>VLOOKUP($C1850,'Variable Information'!$A$1:$C$480,3,FALSE)</f>
        <v>#N/A</v>
      </c>
      <c r="C1850" s="35"/>
      <c r="D1850" s="30" t="s">
        <v>1458</v>
      </c>
      <c r="E1850" s="15" t="s">
        <v>1669</v>
      </c>
    </row>
    <row r="1851" spans="1:5" x14ac:dyDescent="0.25">
      <c r="A1851" s="36" t="e">
        <f>VLOOKUP($C1851,'Variable Information'!$A$2:$E$480,5,FALSE)</f>
        <v>#N/A</v>
      </c>
      <c r="B1851" s="36" t="e">
        <f>VLOOKUP($C1851,'Variable Information'!$A$1:$C$480,3,FALSE)</f>
        <v>#N/A</v>
      </c>
      <c r="C1851" s="35"/>
      <c r="D1851" s="30" t="s">
        <v>1460</v>
      </c>
      <c r="E1851" s="15" t="s">
        <v>1678</v>
      </c>
    </row>
    <row r="1852" spans="1:5" x14ac:dyDescent="0.25">
      <c r="A1852" s="36" t="str">
        <f>VLOOKUP($C1852,'Variable Information'!$A$2:$E$480,5,FALSE)</f>
        <v>AJR_drm_6_b</v>
      </c>
      <c r="B1852" s="36" t="str">
        <f>VLOOKUP($C1852,'Variable Information'!$A$1:$C$480,3,FALSE)</f>
        <v>Q29_1_iter06_b. Agree or Disagree - A lawyer / lawyer's office - The justification for the decision/outcome was clearly explained to me</v>
      </c>
      <c r="C1852" s="35" t="s">
        <v>1028</v>
      </c>
      <c r="D1852" s="30" t="s">
        <v>1447</v>
      </c>
      <c r="E1852" s="15" t="s">
        <v>1674</v>
      </c>
    </row>
    <row r="1853" spans="1:5" x14ac:dyDescent="0.25">
      <c r="A1853" s="36" t="e">
        <f>VLOOKUP($C1853,'Variable Information'!$A$2:$E$480,5,FALSE)</f>
        <v>#N/A</v>
      </c>
      <c r="B1853" s="36" t="e">
        <f>VLOOKUP($C1853,'Variable Information'!$A$1:$C$480,3,FALSE)</f>
        <v>#N/A</v>
      </c>
      <c r="C1853" s="35"/>
      <c r="D1853" s="30" t="s">
        <v>1449</v>
      </c>
      <c r="E1853" s="15" t="s">
        <v>1675</v>
      </c>
    </row>
    <row r="1854" spans="1:5" x14ac:dyDescent="0.25">
      <c r="A1854" s="36" t="e">
        <f>VLOOKUP($C1854,'Variable Information'!$A$2:$E$480,5,FALSE)</f>
        <v>#N/A</v>
      </c>
      <c r="B1854" s="36" t="e">
        <f>VLOOKUP($C1854,'Variable Information'!$A$1:$C$480,3,FALSE)</f>
        <v>#N/A</v>
      </c>
      <c r="C1854" s="35"/>
      <c r="D1854" s="30" t="s">
        <v>1451</v>
      </c>
      <c r="E1854" s="15" t="s">
        <v>1676</v>
      </c>
    </row>
    <row r="1855" spans="1:5" x14ac:dyDescent="0.25">
      <c r="A1855" s="36" t="e">
        <f>VLOOKUP($C1855,'Variable Information'!$A$2:$E$480,5,FALSE)</f>
        <v>#N/A</v>
      </c>
      <c r="B1855" s="36" t="e">
        <f>VLOOKUP($C1855,'Variable Information'!$A$1:$C$480,3,FALSE)</f>
        <v>#N/A</v>
      </c>
      <c r="C1855" s="35"/>
      <c r="D1855" s="30" t="s">
        <v>1456</v>
      </c>
      <c r="E1855" s="15" t="s">
        <v>1677</v>
      </c>
    </row>
    <row r="1856" spans="1:5" x14ac:dyDescent="0.25">
      <c r="A1856" s="36" t="e">
        <f>VLOOKUP($C1856,'Variable Information'!$A$2:$E$480,5,FALSE)</f>
        <v>#N/A</v>
      </c>
      <c r="B1856" s="36" t="e">
        <f>VLOOKUP($C1856,'Variable Information'!$A$1:$C$480,3,FALSE)</f>
        <v>#N/A</v>
      </c>
      <c r="C1856" s="35"/>
      <c r="D1856" s="30" t="s">
        <v>1458</v>
      </c>
      <c r="E1856" s="15" t="s">
        <v>1669</v>
      </c>
    </row>
    <row r="1857" spans="1:5" x14ac:dyDescent="0.25">
      <c r="A1857" s="36" t="e">
        <f>VLOOKUP($C1857,'Variable Information'!$A$2:$E$480,5,FALSE)</f>
        <v>#N/A</v>
      </c>
      <c r="B1857" s="36" t="e">
        <f>VLOOKUP($C1857,'Variable Information'!$A$1:$C$480,3,FALSE)</f>
        <v>#N/A</v>
      </c>
      <c r="C1857" s="35"/>
      <c r="D1857" s="30" t="s">
        <v>1460</v>
      </c>
      <c r="E1857" s="15" t="s">
        <v>1678</v>
      </c>
    </row>
    <row r="1858" spans="1:5" x14ac:dyDescent="0.25">
      <c r="A1858" s="36" t="str">
        <f>VLOOKUP($C1858,'Variable Information'!$A$2:$E$480,5,FALSE)</f>
        <v>AJR_drm_6_c</v>
      </c>
      <c r="B1858" s="36" t="str">
        <f>VLOOKUP($C1858,'Variable Information'!$A$1:$C$480,3,FALSE)</f>
        <v>Q29_1_iter06_c. Agree or Disagree - A lawyer / lawyer's office - The process was efficient</v>
      </c>
      <c r="C1858" s="35" t="s">
        <v>1031</v>
      </c>
      <c r="D1858" s="30" t="s">
        <v>1447</v>
      </c>
      <c r="E1858" s="15" t="s">
        <v>1674</v>
      </c>
    </row>
    <row r="1859" spans="1:5" x14ac:dyDescent="0.25">
      <c r="A1859" s="36" t="e">
        <f>VLOOKUP($C1859,'Variable Information'!$A$2:$E$480,5,FALSE)</f>
        <v>#N/A</v>
      </c>
      <c r="B1859" s="36" t="e">
        <f>VLOOKUP($C1859,'Variable Information'!$A$1:$C$480,3,FALSE)</f>
        <v>#N/A</v>
      </c>
      <c r="C1859" s="35"/>
      <c r="D1859" s="30" t="s">
        <v>1449</v>
      </c>
      <c r="E1859" s="15" t="s">
        <v>1675</v>
      </c>
    </row>
    <row r="1860" spans="1:5" x14ac:dyDescent="0.25">
      <c r="A1860" s="36" t="e">
        <f>VLOOKUP($C1860,'Variable Information'!$A$2:$E$480,5,FALSE)</f>
        <v>#N/A</v>
      </c>
      <c r="B1860" s="36" t="e">
        <f>VLOOKUP($C1860,'Variable Information'!$A$1:$C$480,3,FALSE)</f>
        <v>#N/A</v>
      </c>
      <c r="C1860" s="35"/>
      <c r="D1860" s="30" t="s">
        <v>1451</v>
      </c>
      <c r="E1860" s="15" t="s">
        <v>1676</v>
      </c>
    </row>
    <row r="1861" spans="1:5" x14ac:dyDescent="0.25">
      <c r="A1861" s="36" t="e">
        <f>VLOOKUP($C1861,'Variable Information'!$A$2:$E$480,5,FALSE)</f>
        <v>#N/A</v>
      </c>
      <c r="B1861" s="36" t="e">
        <f>VLOOKUP($C1861,'Variable Information'!$A$1:$C$480,3,FALSE)</f>
        <v>#N/A</v>
      </c>
      <c r="C1861" s="35"/>
      <c r="D1861" s="30" t="s">
        <v>1456</v>
      </c>
      <c r="E1861" s="15" t="s">
        <v>1677</v>
      </c>
    </row>
    <row r="1862" spans="1:5" x14ac:dyDescent="0.25">
      <c r="A1862" s="36" t="e">
        <f>VLOOKUP($C1862,'Variable Information'!$A$2:$E$480,5,FALSE)</f>
        <v>#N/A</v>
      </c>
      <c r="B1862" s="36" t="e">
        <f>VLOOKUP($C1862,'Variable Information'!$A$1:$C$480,3,FALSE)</f>
        <v>#N/A</v>
      </c>
      <c r="C1862" s="35"/>
      <c r="D1862" s="30" t="s">
        <v>1458</v>
      </c>
      <c r="E1862" s="15" t="s">
        <v>1669</v>
      </c>
    </row>
    <row r="1863" spans="1:5" x14ac:dyDescent="0.25">
      <c r="A1863" s="36" t="e">
        <f>VLOOKUP($C1863,'Variable Information'!$A$2:$E$480,5,FALSE)</f>
        <v>#N/A</v>
      </c>
      <c r="B1863" s="36" t="e">
        <f>VLOOKUP($C1863,'Variable Information'!$A$1:$C$480,3,FALSE)</f>
        <v>#N/A</v>
      </c>
      <c r="C1863" s="35"/>
      <c r="D1863" s="30" t="s">
        <v>1460</v>
      </c>
      <c r="E1863" s="15" t="s">
        <v>1678</v>
      </c>
    </row>
    <row r="1864" spans="1:5" x14ac:dyDescent="0.25">
      <c r="A1864" s="36" t="str">
        <f>VLOOKUP($C1864,'Variable Information'!$A$2:$E$480,5,FALSE)</f>
        <v>AJR_drm_6_d</v>
      </c>
      <c r="B1864" s="36" t="str">
        <f>VLOOKUP($C1864,'Variable Information'!$A$1:$C$480,3,FALSE)</f>
        <v>Q29_1_iter06_d. Agree or Disagree - A lawyer / lawyer's office - The process was affordable</v>
      </c>
      <c r="C1864" s="35" t="s">
        <v>1034</v>
      </c>
      <c r="D1864" s="30" t="s">
        <v>1447</v>
      </c>
      <c r="E1864" s="15" t="s">
        <v>1674</v>
      </c>
    </row>
    <row r="1865" spans="1:5" x14ac:dyDescent="0.25">
      <c r="A1865" s="36" t="e">
        <f>VLOOKUP($C1865,'Variable Information'!$A$2:$E$480,5,FALSE)</f>
        <v>#N/A</v>
      </c>
      <c r="B1865" s="36" t="e">
        <f>VLOOKUP($C1865,'Variable Information'!$A$1:$C$480,3,FALSE)</f>
        <v>#N/A</v>
      </c>
      <c r="C1865" s="35"/>
      <c r="D1865" s="30" t="s">
        <v>1449</v>
      </c>
      <c r="E1865" s="15" t="s">
        <v>1675</v>
      </c>
    </row>
    <row r="1866" spans="1:5" x14ac:dyDescent="0.25">
      <c r="A1866" s="36" t="e">
        <f>VLOOKUP($C1866,'Variable Information'!$A$2:$E$480,5,FALSE)</f>
        <v>#N/A</v>
      </c>
      <c r="B1866" s="36" t="e">
        <f>VLOOKUP($C1866,'Variable Information'!$A$1:$C$480,3,FALSE)</f>
        <v>#N/A</v>
      </c>
      <c r="C1866" s="35"/>
      <c r="D1866" s="30" t="s">
        <v>1451</v>
      </c>
      <c r="E1866" s="15" t="s">
        <v>1676</v>
      </c>
    </row>
    <row r="1867" spans="1:5" x14ac:dyDescent="0.25">
      <c r="A1867" s="36" t="e">
        <f>VLOOKUP($C1867,'Variable Information'!$A$2:$E$480,5,FALSE)</f>
        <v>#N/A</v>
      </c>
      <c r="B1867" s="36" t="e">
        <f>VLOOKUP($C1867,'Variable Information'!$A$1:$C$480,3,FALSE)</f>
        <v>#N/A</v>
      </c>
      <c r="C1867" s="35"/>
      <c r="D1867" s="30" t="s">
        <v>1456</v>
      </c>
      <c r="E1867" s="15" t="s">
        <v>1677</v>
      </c>
    </row>
    <row r="1868" spans="1:5" x14ac:dyDescent="0.25">
      <c r="A1868" s="36" t="e">
        <f>VLOOKUP($C1868,'Variable Information'!$A$2:$E$480,5,FALSE)</f>
        <v>#N/A</v>
      </c>
      <c r="B1868" s="36" t="e">
        <f>VLOOKUP($C1868,'Variable Information'!$A$1:$C$480,3,FALSE)</f>
        <v>#N/A</v>
      </c>
      <c r="C1868" s="35"/>
      <c r="D1868" s="30" t="s">
        <v>1458</v>
      </c>
      <c r="E1868" s="15" t="s">
        <v>1669</v>
      </c>
    </row>
    <row r="1869" spans="1:5" x14ac:dyDescent="0.25">
      <c r="A1869" s="36" t="e">
        <f>VLOOKUP($C1869,'Variable Information'!$A$2:$E$480,5,FALSE)</f>
        <v>#N/A</v>
      </c>
      <c r="B1869" s="36" t="e">
        <f>VLOOKUP($C1869,'Variable Information'!$A$1:$C$480,3,FALSE)</f>
        <v>#N/A</v>
      </c>
      <c r="C1869" s="35"/>
      <c r="D1869" s="30" t="s">
        <v>1460</v>
      </c>
      <c r="E1869" s="15" t="s">
        <v>1678</v>
      </c>
    </row>
    <row r="1870" spans="1:5" x14ac:dyDescent="0.25">
      <c r="A1870" s="36" t="str">
        <f>VLOOKUP($C1870,'Variable Information'!$A$2:$E$480,5,FALSE)</f>
        <v>AJR_drm_6_e</v>
      </c>
      <c r="B1870" s="36" t="str">
        <f>VLOOKUP($C1870,'Variable Information'!$A$1:$C$480,3,FALSE)</f>
        <v>Q29_1_iter06_e. Agree or Disagree - A lawyer / lawyer's office - The duration/length of the process was reasonable</v>
      </c>
      <c r="C1870" s="35" t="s">
        <v>1037</v>
      </c>
      <c r="D1870" s="30" t="s">
        <v>1447</v>
      </c>
      <c r="E1870" s="15" t="s">
        <v>1674</v>
      </c>
    </row>
    <row r="1871" spans="1:5" x14ac:dyDescent="0.25">
      <c r="A1871" s="36" t="e">
        <f>VLOOKUP($C1871,'Variable Information'!$A$2:$E$480,5,FALSE)</f>
        <v>#N/A</v>
      </c>
      <c r="B1871" s="36" t="e">
        <f>VLOOKUP($C1871,'Variable Information'!$A$1:$C$480,3,FALSE)</f>
        <v>#N/A</v>
      </c>
      <c r="C1871" s="35"/>
      <c r="D1871" s="30" t="s">
        <v>1449</v>
      </c>
      <c r="E1871" s="15" t="s">
        <v>1675</v>
      </c>
    </row>
    <row r="1872" spans="1:5" x14ac:dyDescent="0.25">
      <c r="A1872" s="36" t="e">
        <f>VLOOKUP($C1872,'Variable Information'!$A$2:$E$480,5,FALSE)</f>
        <v>#N/A</v>
      </c>
      <c r="B1872" s="36" t="e">
        <f>VLOOKUP($C1872,'Variable Information'!$A$1:$C$480,3,FALSE)</f>
        <v>#N/A</v>
      </c>
      <c r="C1872" s="35"/>
      <c r="D1872" s="30" t="s">
        <v>1451</v>
      </c>
      <c r="E1872" s="15" t="s">
        <v>1676</v>
      </c>
    </row>
    <row r="1873" spans="1:5" x14ac:dyDescent="0.25">
      <c r="A1873" s="36" t="e">
        <f>VLOOKUP($C1873,'Variable Information'!$A$2:$E$480,5,FALSE)</f>
        <v>#N/A</v>
      </c>
      <c r="B1873" s="36" t="e">
        <f>VLOOKUP($C1873,'Variable Information'!$A$1:$C$480,3,FALSE)</f>
        <v>#N/A</v>
      </c>
      <c r="C1873" s="35"/>
      <c r="D1873" s="30" t="s">
        <v>1456</v>
      </c>
      <c r="E1873" s="15" t="s">
        <v>1677</v>
      </c>
    </row>
    <row r="1874" spans="1:5" x14ac:dyDescent="0.25">
      <c r="A1874" s="36" t="e">
        <f>VLOOKUP($C1874,'Variable Information'!$A$2:$E$480,5,FALSE)</f>
        <v>#N/A</v>
      </c>
      <c r="B1874" s="36" t="e">
        <f>VLOOKUP($C1874,'Variable Information'!$A$1:$C$480,3,FALSE)</f>
        <v>#N/A</v>
      </c>
      <c r="C1874" s="35"/>
      <c r="D1874" s="30" t="s">
        <v>1458</v>
      </c>
      <c r="E1874" s="15" t="s">
        <v>1669</v>
      </c>
    </row>
    <row r="1875" spans="1:5" x14ac:dyDescent="0.25">
      <c r="A1875" s="36" t="e">
        <f>VLOOKUP($C1875,'Variable Information'!$A$2:$E$480,5,FALSE)</f>
        <v>#N/A</v>
      </c>
      <c r="B1875" s="36" t="e">
        <f>VLOOKUP($C1875,'Variable Information'!$A$1:$C$480,3,FALSE)</f>
        <v>#N/A</v>
      </c>
      <c r="C1875" s="35"/>
      <c r="D1875" s="30" t="s">
        <v>1460</v>
      </c>
      <c r="E1875" s="15" t="s">
        <v>1678</v>
      </c>
    </row>
    <row r="1876" spans="1:5" x14ac:dyDescent="0.25">
      <c r="A1876" s="36" t="str">
        <f>VLOOKUP($C1876,'Variable Information'!$A$2:$E$480,5,FALSE)</f>
        <v>AJR_drm_6_f</v>
      </c>
      <c r="B1876" s="36" t="str">
        <f>VLOOKUP($C1876,'Variable Information'!$A$1:$C$480,3,FALSE)</f>
        <v>Q29_1_iter06_f. Agree or Disagree - A lawyer / lawyer's office - The process was fair</v>
      </c>
      <c r="C1876" s="35" t="s">
        <v>1040</v>
      </c>
      <c r="D1876" s="30" t="s">
        <v>1447</v>
      </c>
      <c r="E1876" s="15" t="s">
        <v>1674</v>
      </c>
    </row>
    <row r="1877" spans="1:5" x14ac:dyDescent="0.25">
      <c r="A1877" s="36" t="e">
        <f>VLOOKUP($C1877,'Variable Information'!$A$2:$E$480,5,FALSE)</f>
        <v>#N/A</v>
      </c>
      <c r="B1877" s="36" t="e">
        <f>VLOOKUP($C1877,'Variable Information'!$A$1:$C$480,3,FALSE)</f>
        <v>#N/A</v>
      </c>
      <c r="C1877" s="35"/>
      <c r="D1877" s="30" t="s">
        <v>1449</v>
      </c>
      <c r="E1877" s="15" t="s">
        <v>1675</v>
      </c>
    </row>
    <row r="1878" spans="1:5" x14ac:dyDescent="0.25">
      <c r="A1878" s="36" t="e">
        <f>VLOOKUP($C1878,'Variable Information'!$A$2:$E$480,5,FALSE)</f>
        <v>#N/A</v>
      </c>
      <c r="B1878" s="36" t="e">
        <f>VLOOKUP($C1878,'Variable Information'!$A$1:$C$480,3,FALSE)</f>
        <v>#N/A</v>
      </c>
      <c r="C1878" s="35"/>
      <c r="D1878" s="30" t="s">
        <v>1451</v>
      </c>
      <c r="E1878" s="15" t="s">
        <v>1676</v>
      </c>
    </row>
    <row r="1879" spans="1:5" x14ac:dyDescent="0.25">
      <c r="A1879" s="36" t="e">
        <f>VLOOKUP($C1879,'Variable Information'!$A$2:$E$480,5,FALSE)</f>
        <v>#N/A</v>
      </c>
      <c r="B1879" s="36" t="e">
        <f>VLOOKUP($C1879,'Variable Information'!$A$1:$C$480,3,FALSE)</f>
        <v>#N/A</v>
      </c>
      <c r="C1879" s="35"/>
      <c r="D1879" s="30" t="s">
        <v>1456</v>
      </c>
      <c r="E1879" s="15" t="s">
        <v>1677</v>
      </c>
    </row>
    <row r="1880" spans="1:5" x14ac:dyDescent="0.25">
      <c r="A1880" s="36" t="e">
        <f>VLOOKUP($C1880,'Variable Information'!$A$2:$E$480,5,FALSE)</f>
        <v>#N/A</v>
      </c>
      <c r="B1880" s="36" t="e">
        <f>VLOOKUP($C1880,'Variable Information'!$A$1:$C$480,3,FALSE)</f>
        <v>#N/A</v>
      </c>
      <c r="C1880" s="35"/>
      <c r="D1880" s="30" t="s">
        <v>1458</v>
      </c>
      <c r="E1880" s="15" t="s">
        <v>1669</v>
      </c>
    </row>
    <row r="1881" spans="1:5" x14ac:dyDescent="0.25">
      <c r="A1881" s="36" t="e">
        <f>VLOOKUP($C1881,'Variable Information'!$A$2:$E$480,5,FALSE)</f>
        <v>#N/A</v>
      </c>
      <c r="B1881" s="36" t="e">
        <f>VLOOKUP($C1881,'Variable Information'!$A$1:$C$480,3,FALSE)</f>
        <v>#N/A</v>
      </c>
      <c r="C1881" s="35"/>
      <c r="D1881" s="30" t="s">
        <v>1460</v>
      </c>
      <c r="E1881" s="15" t="s">
        <v>1678</v>
      </c>
    </row>
    <row r="1882" spans="1:5" x14ac:dyDescent="0.25">
      <c r="A1882" s="36" t="str">
        <f>VLOOKUP($C1882,'Variable Information'!$A$2:$E$480,5,FALSE)</f>
        <v>AJR_drm_6_g</v>
      </c>
      <c r="B1882" s="36" t="str">
        <f>VLOOKUP($C1882,'Variable Information'!$A$1:$C$480,3,FALSE)</f>
        <v>Q29_1_iter06_g. Agree or Disagree - A lawyer / lawyer's office - The outcome was fair</v>
      </c>
      <c r="C1882" s="35" t="s">
        <v>1043</v>
      </c>
      <c r="D1882" s="30" t="s">
        <v>1447</v>
      </c>
      <c r="E1882" s="15" t="s">
        <v>1674</v>
      </c>
    </row>
    <row r="1883" spans="1:5" x14ac:dyDescent="0.25">
      <c r="A1883" s="36" t="e">
        <f>VLOOKUP($C1883,'Variable Information'!$A$2:$E$480,5,FALSE)</f>
        <v>#N/A</v>
      </c>
      <c r="B1883" s="36" t="e">
        <f>VLOOKUP($C1883,'Variable Information'!$A$1:$C$480,3,FALSE)</f>
        <v>#N/A</v>
      </c>
      <c r="C1883" s="35"/>
      <c r="D1883" s="30" t="s">
        <v>1449</v>
      </c>
      <c r="E1883" s="15" t="s">
        <v>1675</v>
      </c>
    </row>
    <row r="1884" spans="1:5" x14ac:dyDescent="0.25">
      <c r="A1884" s="36" t="e">
        <f>VLOOKUP($C1884,'Variable Information'!$A$2:$E$480,5,FALSE)</f>
        <v>#N/A</v>
      </c>
      <c r="B1884" s="36" t="e">
        <f>VLOOKUP($C1884,'Variable Information'!$A$1:$C$480,3,FALSE)</f>
        <v>#N/A</v>
      </c>
      <c r="C1884" s="35"/>
      <c r="D1884" s="30" t="s">
        <v>1451</v>
      </c>
      <c r="E1884" s="15" t="s">
        <v>1676</v>
      </c>
    </row>
    <row r="1885" spans="1:5" x14ac:dyDescent="0.25">
      <c r="A1885" s="36" t="e">
        <f>VLOOKUP($C1885,'Variable Information'!$A$2:$E$480,5,FALSE)</f>
        <v>#N/A</v>
      </c>
      <c r="B1885" s="36" t="e">
        <f>VLOOKUP($C1885,'Variable Information'!$A$1:$C$480,3,FALSE)</f>
        <v>#N/A</v>
      </c>
      <c r="C1885" s="35"/>
      <c r="D1885" s="30" t="s">
        <v>1456</v>
      </c>
      <c r="E1885" s="15" t="s">
        <v>1677</v>
      </c>
    </row>
    <row r="1886" spans="1:5" x14ac:dyDescent="0.25">
      <c r="A1886" s="36" t="e">
        <f>VLOOKUP($C1886,'Variable Information'!$A$2:$E$480,5,FALSE)</f>
        <v>#N/A</v>
      </c>
      <c r="B1886" s="36" t="e">
        <f>VLOOKUP($C1886,'Variable Information'!$A$1:$C$480,3,FALSE)</f>
        <v>#N/A</v>
      </c>
      <c r="C1886" s="35"/>
      <c r="D1886" s="30" t="s">
        <v>1458</v>
      </c>
      <c r="E1886" s="15" t="s">
        <v>1669</v>
      </c>
    </row>
    <row r="1887" spans="1:5" x14ac:dyDescent="0.25">
      <c r="A1887" s="36" t="e">
        <f>VLOOKUP($C1887,'Variable Information'!$A$2:$E$480,5,FALSE)</f>
        <v>#N/A</v>
      </c>
      <c r="B1887" s="36" t="e">
        <f>VLOOKUP($C1887,'Variable Information'!$A$1:$C$480,3,FALSE)</f>
        <v>#N/A</v>
      </c>
      <c r="C1887" s="35"/>
      <c r="D1887" s="30" t="s">
        <v>1460</v>
      </c>
      <c r="E1887" s="15" t="s">
        <v>1678</v>
      </c>
    </row>
    <row r="1888" spans="1:5" x14ac:dyDescent="0.25">
      <c r="A1888" s="36" t="str">
        <f>VLOOKUP($C1888,'Variable Information'!$A$2:$E$480,5,FALSE)</f>
        <v>AJR_drm_6_h</v>
      </c>
      <c r="B1888" s="36" t="str">
        <f>VLOOKUP($C1888,'Variable Information'!$A$1:$C$480,3,FALSE)</f>
        <v>Q29_1_iter06_h. Agree or Disagree - A lawyer / lawyer's office - &lt;&gt; was helpful</v>
      </c>
      <c r="C1888" s="35" t="s">
        <v>1046</v>
      </c>
      <c r="D1888" s="30" t="s">
        <v>1447</v>
      </c>
      <c r="E1888" s="15" t="s">
        <v>1674</v>
      </c>
    </row>
    <row r="1889" spans="1:5" x14ac:dyDescent="0.25">
      <c r="A1889" s="36" t="e">
        <f>VLOOKUP($C1889,'Variable Information'!$A$2:$E$480,5,FALSE)</f>
        <v>#N/A</v>
      </c>
      <c r="B1889" s="36" t="e">
        <f>VLOOKUP($C1889,'Variable Information'!$A$1:$C$480,3,FALSE)</f>
        <v>#N/A</v>
      </c>
      <c r="C1889" s="35"/>
      <c r="D1889" s="30" t="s">
        <v>1449</v>
      </c>
      <c r="E1889" s="15" t="s">
        <v>1675</v>
      </c>
    </row>
    <row r="1890" spans="1:5" x14ac:dyDescent="0.25">
      <c r="A1890" s="36" t="e">
        <f>VLOOKUP($C1890,'Variable Information'!$A$2:$E$480,5,FALSE)</f>
        <v>#N/A</v>
      </c>
      <c r="B1890" s="36" t="e">
        <f>VLOOKUP($C1890,'Variable Information'!$A$1:$C$480,3,FALSE)</f>
        <v>#N/A</v>
      </c>
      <c r="C1890" s="35"/>
      <c r="D1890" s="30" t="s">
        <v>1451</v>
      </c>
      <c r="E1890" s="15" t="s">
        <v>1676</v>
      </c>
    </row>
    <row r="1891" spans="1:5" x14ac:dyDescent="0.25">
      <c r="A1891" s="36" t="e">
        <f>VLOOKUP($C1891,'Variable Information'!$A$2:$E$480,5,FALSE)</f>
        <v>#N/A</v>
      </c>
      <c r="B1891" s="36" t="e">
        <f>VLOOKUP($C1891,'Variable Information'!$A$1:$C$480,3,FALSE)</f>
        <v>#N/A</v>
      </c>
      <c r="C1891" s="35"/>
      <c r="D1891" s="30" t="s">
        <v>1456</v>
      </c>
      <c r="E1891" s="15" t="s">
        <v>1677</v>
      </c>
    </row>
    <row r="1892" spans="1:5" x14ac:dyDescent="0.25">
      <c r="A1892" s="36" t="e">
        <f>VLOOKUP($C1892,'Variable Information'!$A$2:$E$480,5,FALSE)</f>
        <v>#N/A</v>
      </c>
      <c r="B1892" s="36" t="e">
        <f>VLOOKUP($C1892,'Variable Information'!$A$1:$C$480,3,FALSE)</f>
        <v>#N/A</v>
      </c>
      <c r="C1892" s="35"/>
      <c r="D1892" s="30" t="s">
        <v>1458</v>
      </c>
      <c r="E1892" s="15" t="s">
        <v>1669</v>
      </c>
    </row>
    <row r="1893" spans="1:5" x14ac:dyDescent="0.25">
      <c r="A1893" s="36" t="e">
        <f>VLOOKUP($C1893,'Variable Information'!$A$2:$E$480,5,FALSE)</f>
        <v>#N/A</v>
      </c>
      <c r="B1893" s="36" t="e">
        <f>VLOOKUP($C1893,'Variable Information'!$A$1:$C$480,3,FALSE)</f>
        <v>#N/A</v>
      </c>
      <c r="C1893" s="35"/>
      <c r="D1893" s="30" t="s">
        <v>1460</v>
      </c>
      <c r="E1893" s="15" t="s">
        <v>1678</v>
      </c>
    </row>
    <row r="1894" spans="1:5" x14ac:dyDescent="0.25">
      <c r="A1894" s="36" t="str">
        <f>VLOOKUP($C1894,'Variable Information'!$A$2:$E$480,5,FALSE)</f>
        <v>AJR_drm_6_i</v>
      </c>
      <c r="B1894" s="36" t="str">
        <f>VLOOKUP($C1894,'Variable Information'!$A$1:$C$480,3,FALSE)</f>
        <v>Q29_1_iter06_i. Agree or Disagree - A lawyer / lawyer's office - &lt;&gt; took my concerns and experiences seriously</v>
      </c>
      <c r="C1894" s="35" t="s">
        <v>1049</v>
      </c>
      <c r="D1894" s="30" t="s">
        <v>1447</v>
      </c>
      <c r="E1894" s="15" t="s">
        <v>1674</v>
      </c>
    </row>
    <row r="1895" spans="1:5" x14ac:dyDescent="0.25">
      <c r="A1895" s="36" t="e">
        <f>VLOOKUP($C1895,'Variable Information'!$A$2:$E$480,5,FALSE)</f>
        <v>#N/A</v>
      </c>
      <c r="B1895" s="36" t="e">
        <f>VLOOKUP($C1895,'Variable Information'!$A$1:$C$480,3,FALSE)</f>
        <v>#N/A</v>
      </c>
      <c r="C1895" s="35"/>
      <c r="D1895" s="30" t="s">
        <v>1449</v>
      </c>
      <c r="E1895" s="15" t="s">
        <v>1675</v>
      </c>
    </row>
    <row r="1896" spans="1:5" x14ac:dyDescent="0.25">
      <c r="A1896" s="36" t="e">
        <f>VLOOKUP($C1896,'Variable Information'!$A$2:$E$480,5,FALSE)</f>
        <v>#N/A</v>
      </c>
      <c r="B1896" s="36" t="e">
        <f>VLOOKUP($C1896,'Variable Information'!$A$1:$C$480,3,FALSE)</f>
        <v>#N/A</v>
      </c>
      <c r="C1896" s="35"/>
      <c r="D1896" s="30" t="s">
        <v>1451</v>
      </c>
      <c r="E1896" s="15" t="s">
        <v>1676</v>
      </c>
    </row>
    <row r="1897" spans="1:5" x14ac:dyDescent="0.25">
      <c r="A1897" s="36" t="e">
        <f>VLOOKUP($C1897,'Variable Information'!$A$2:$E$480,5,FALSE)</f>
        <v>#N/A</v>
      </c>
      <c r="B1897" s="36" t="e">
        <f>VLOOKUP($C1897,'Variable Information'!$A$1:$C$480,3,FALSE)</f>
        <v>#N/A</v>
      </c>
      <c r="C1897" s="35"/>
      <c r="D1897" s="30" t="s">
        <v>1456</v>
      </c>
      <c r="E1897" s="15" t="s">
        <v>1677</v>
      </c>
    </row>
    <row r="1898" spans="1:5" x14ac:dyDescent="0.25">
      <c r="A1898" s="36" t="e">
        <f>VLOOKUP($C1898,'Variable Information'!$A$2:$E$480,5,FALSE)</f>
        <v>#N/A</v>
      </c>
      <c r="B1898" s="36" t="e">
        <f>VLOOKUP($C1898,'Variable Information'!$A$1:$C$480,3,FALSE)</f>
        <v>#N/A</v>
      </c>
      <c r="C1898" s="35"/>
      <c r="D1898" s="30" t="s">
        <v>1458</v>
      </c>
      <c r="E1898" s="15" t="s">
        <v>1669</v>
      </c>
    </row>
    <row r="1899" spans="1:5" x14ac:dyDescent="0.25">
      <c r="A1899" s="36" t="e">
        <f>VLOOKUP($C1899,'Variable Information'!$A$2:$E$480,5,FALSE)</f>
        <v>#N/A</v>
      </c>
      <c r="B1899" s="36" t="e">
        <f>VLOOKUP($C1899,'Variable Information'!$A$1:$C$480,3,FALSE)</f>
        <v>#N/A</v>
      </c>
      <c r="C1899" s="35"/>
      <c r="D1899" s="30" t="s">
        <v>1460</v>
      </c>
      <c r="E1899" s="15" t="s">
        <v>1678</v>
      </c>
    </row>
    <row r="1900" spans="1:5" x14ac:dyDescent="0.25">
      <c r="A1900" s="36" t="str">
        <f>VLOOKUP($C1900,'Variable Information'!$A$2:$E$480,5,FALSE)</f>
        <v>AJR_drm_7_a</v>
      </c>
      <c r="B1900" s="36" t="str">
        <f>VLOOKUP($C1900,'Variable Information'!$A$1:$C$480,3,FALSE)</f>
        <v>Q29_1_iter07_a. Agree or Disagree - A government department, local council or government agency - Both parties had the same opportunity to explain their position</v>
      </c>
      <c r="C1900" s="35" t="s">
        <v>1052</v>
      </c>
      <c r="D1900" s="30" t="s">
        <v>1447</v>
      </c>
      <c r="E1900" s="15" t="s">
        <v>1674</v>
      </c>
    </row>
    <row r="1901" spans="1:5" x14ac:dyDescent="0.25">
      <c r="A1901" s="36" t="e">
        <f>VLOOKUP($C1901,'Variable Information'!$A$2:$E$480,5,FALSE)</f>
        <v>#N/A</v>
      </c>
      <c r="B1901" s="36" t="e">
        <f>VLOOKUP($C1901,'Variable Information'!$A$1:$C$480,3,FALSE)</f>
        <v>#N/A</v>
      </c>
      <c r="C1901" s="35"/>
      <c r="D1901" s="30" t="s">
        <v>1449</v>
      </c>
      <c r="E1901" s="15" t="s">
        <v>1675</v>
      </c>
    </row>
    <row r="1902" spans="1:5" x14ac:dyDescent="0.25">
      <c r="A1902" s="36" t="e">
        <f>VLOOKUP($C1902,'Variable Information'!$A$2:$E$480,5,FALSE)</f>
        <v>#N/A</v>
      </c>
      <c r="B1902" s="36" t="e">
        <f>VLOOKUP($C1902,'Variable Information'!$A$1:$C$480,3,FALSE)</f>
        <v>#N/A</v>
      </c>
      <c r="C1902" s="35"/>
      <c r="D1902" s="30" t="s">
        <v>1451</v>
      </c>
      <c r="E1902" s="15" t="s">
        <v>1676</v>
      </c>
    </row>
    <row r="1903" spans="1:5" x14ac:dyDescent="0.25">
      <c r="A1903" s="36" t="e">
        <f>VLOOKUP($C1903,'Variable Information'!$A$2:$E$480,5,FALSE)</f>
        <v>#N/A</v>
      </c>
      <c r="B1903" s="36" t="e">
        <f>VLOOKUP($C1903,'Variable Information'!$A$1:$C$480,3,FALSE)</f>
        <v>#N/A</v>
      </c>
      <c r="C1903" s="35"/>
      <c r="D1903" s="30" t="s">
        <v>1456</v>
      </c>
      <c r="E1903" s="15" t="s">
        <v>1677</v>
      </c>
    </row>
    <row r="1904" spans="1:5" x14ac:dyDescent="0.25">
      <c r="A1904" s="36" t="e">
        <f>VLOOKUP($C1904,'Variable Information'!$A$2:$E$480,5,FALSE)</f>
        <v>#N/A</v>
      </c>
      <c r="B1904" s="36" t="e">
        <f>VLOOKUP($C1904,'Variable Information'!$A$1:$C$480,3,FALSE)</f>
        <v>#N/A</v>
      </c>
      <c r="C1904" s="35"/>
      <c r="D1904" s="30" t="s">
        <v>1458</v>
      </c>
      <c r="E1904" s="15" t="s">
        <v>1669</v>
      </c>
    </row>
    <row r="1905" spans="1:5" x14ac:dyDescent="0.25">
      <c r="A1905" s="36" t="e">
        <f>VLOOKUP($C1905,'Variable Information'!$A$2:$E$480,5,FALSE)</f>
        <v>#N/A</v>
      </c>
      <c r="B1905" s="36" t="e">
        <f>VLOOKUP($C1905,'Variable Information'!$A$1:$C$480,3,FALSE)</f>
        <v>#N/A</v>
      </c>
      <c r="C1905" s="35"/>
      <c r="D1905" s="30" t="s">
        <v>1460</v>
      </c>
      <c r="E1905" s="15" t="s">
        <v>1678</v>
      </c>
    </row>
    <row r="1906" spans="1:5" x14ac:dyDescent="0.25">
      <c r="A1906" s="36" t="str">
        <f>VLOOKUP($C1906,'Variable Information'!$A$2:$E$480,5,FALSE)</f>
        <v>AJR_drm_7_b</v>
      </c>
      <c r="B1906" s="36" t="str">
        <f>VLOOKUP($C1906,'Variable Information'!$A$1:$C$480,3,FALSE)</f>
        <v>Q29_1_iter07_b. Agree or Disagree - A government department, local council or government agency - The justification for the decision/outcome was clearly explained to me</v>
      </c>
      <c r="C1906" s="35" t="s">
        <v>1055</v>
      </c>
      <c r="D1906" s="30" t="s">
        <v>1447</v>
      </c>
      <c r="E1906" s="15" t="s">
        <v>1674</v>
      </c>
    </row>
    <row r="1907" spans="1:5" x14ac:dyDescent="0.25">
      <c r="A1907" s="36" t="e">
        <f>VLOOKUP($C1907,'Variable Information'!$A$2:$E$480,5,FALSE)</f>
        <v>#N/A</v>
      </c>
      <c r="B1907" s="36" t="e">
        <f>VLOOKUP($C1907,'Variable Information'!$A$1:$C$480,3,FALSE)</f>
        <v>#N/A</v>
      </c>
      <c r="C1907" s="35"/>
      <c r="D1907" s="30" t="s">
        <v>1449</v>
      </c>
      <c r="E1907" s="15" t="s">
        <v>1675</v>
      </c>
    </row>
    <row r="1908" spans="1:5" x14ac:dyDescent="0.25">
      <c r="A1908" s="36" t="e">
        <f>VLOOKUP($C1908,'Variable Information'!$A$2:$E$480,5,FALSE)</f>
        <v>#N/A</v>
      </c>
      <c r="B1908" s="36" t="e">
        <f>VLOOKUP($C1908,'Variable Information'!$A$1:$C$480,3,FALSE)</f>
        <v>#N/A</v>
      </c>
      <c r="C1908" s="35"/>
      <c r="D1908" s="30" t="s">
        <v>1451</v>
      </c>
      <c r="E1908" s="15" t="s">
        <v>1676</v>
      </c>
    </row>
    <row r="1909" spans="1:5" x14ac:dyDescent="0.25">
      <c r="A1909" s="36" t="e">
        <f>VLOOKUP($C1909,'Variable Information'!$A$2:$E$480,5,FALSE)</f>
        <v>#N/A</v>
      </c>
      <c r="B1909" s="36" t="e">
        <f>VLOOKUP($C1909,'Variable Information'!$A$1:$C$480,3,FALSE)</f>
        <v>#N/A</v>
      </c>
      <c r="C1909" s="35"/>
      <c r="D1909" s="30" t="s">
        <v>1456</v>
      </c>
      <c r="E1909" s="15" t="s">
        <v>1677</v>
      </c>
    </row>
    <row r="1910" spans="1:5" x14ac:dyDescent="0.25">
      <c r="A1910" s="36" t="e">
        <f>VLOOKUP($C1910,'Variable Information'!$A$2:$E$480,5,FALSE)</f>
        <v>#N/A</v>
      </c>
      <c r="B1910" s="36" t="e">
        <f>VLOOKUP($C1910,'Variable Information'!$A$1:$C$480,3,FALSE)</f>
        <v>#N/A</v>
      </c>
      <c r="C1910" s="35"/>
      <c r="D1910" s="30" t="s">
        <v>1458</v>
      </c>
      <c r="E1910" s="15" t="s">
        <v>1669</v>
      </c>
    </row>
    <row r="1911" spans="1:5" x14ac:dyDescent="0.25">
      <c r="A1911" s="36" t="e">
        <f>VLOOKUP($C1911,'Variable Information'!$A$2:$E$480,5,FALSE)</f>
        <v>#N/A</v>
      </c>
      <c r="B1911" s="36" t="e">
        <f>VLOOKUP($C1911,'Variable Information'!$A$1:$C$480,3,FALSE)</f>
        <v>#N/A</v>
      </c>
      <c r="C1911" s="35"/>
      <c r="D1911" s="30" t="s">
        <v>1460</v>
      </c>
      <c r="E1911" s="15" t="s">
        <v>1678</v>
      </c>
    </row>
    <row r="1912" spans="1:5" x14ac:dyDescent="0.25">
      <c r="A1912" s="36" t="str">
        <f>VLOOKUP($C1912,'Variable Information'!$A$2:$E$480,5,FALSE)</f>
        <v>AJR_drm_7_c</v>
      </c>
      <c r="B1912" s="36" t="str">
        <f>VLOOKUP($C1912,'Variable Information'!$A$1:$C$480,3,FALSE)</f>
        <v>Q29_1_iter07_c. Agree or Disagree - A government department, local council or government agency - The process was efficient</v>
      </c>
      <c r="C1912" s="35" t="s">
        <v>1058</v>
      </c>
      <c r="D1912" s="30" t="s">
        <v>1447</v>
      </c>
      <c r="E1912" s="15" t="s">
        <v>1674</v>
      </c>
    </row>
    <row r="1913" spans="1:5" x14ac:dyDescent="0.25">
      <c r="A1913" s="36" t="e">
        <f>VLOOKUP($C1913,'Variable Information'!$A$2:$E$480,5,FALSE)</f>
        <v>#N/A</v>
      </c>
      <c r="B1913" s="36" t="e">
        <f>VLOOKUP($C1913,'Variable Information'!$A$1:$C$480,3,FALSE)</f>
        <v>#N/A</v>
      </c>
      <c r="C1913" s="35"/>
      <c r="D1913" s="30" t="s">
        <v>1449</v>
      </c>
      <c r="E1913" s="15" t="s">
        <v>1675</v>
      </c>
    </row>
    <row r="1914" spans="1:5" x14ac:dyDescent="0.25">
      <c r="A1914" s="36" t="e">
        <f>VLOOKUP($C1914,'Variable Information'!$A$2:$E$480,5,FALSE)</f>
        <v>#N/A</v>
      </c>
      <c r="B1914" s="36" t="e">
        <f>VLOOKUP($C1914,'Variable Information'!$A$1:$C$480,3,FALSE)</f>
        <v>#N/A</v>
      </c>
      <c r="C1914" s="35"/>
      <c r="D1914" s="30" t="s">
        <v>1451</v>
      </c>
      <c r="E1914" s="15" t="s">
        <v>1676</v>
      </c>
    </row>
    <row r="1915" spans="1:5" x14ac:dyDescent="0.25">
      <c r="A1915" s="36" t="e">
        <f>VLOOKUP($C1915,'Variable Information'!$A$2:$E$480,5,FALSE)</f>
        <v>#N/A</v>
      </c>
      <c r="B1915" s="36" t="e">
        <f>VLOOKUP($C1915,'Variable Information'!$A$1:$C$480,3,FALSE)</f>
        <v>#N/A</v>
      </c>
      <c r="C1915" s="35"/>
      <c r="D1915" s="30" t="s">
        <v>1456</v>
      </c>
      <c r="E1915" s="15" t="s">
        <v>1677</v>
      </c>
    </row>
    <row r="1916" spans="1:5" x14ac:dyDescent="0.25">
      <c r="A1916" s="36" t="e">
        <f>VLOOKUP($C1916,'Variable Information'!$A$2:$E$480,5,FALSE)</f>
        <v>#N/A</v>
      </c>
      <c r="B1916" s="36" t="e">
        <f>VLOOKUP($C1916,'Variable Information'!$A$1:$C$480,3,FALSE)</f>
        <v>#N/A</v>
      </c>
      <c r="C1916" s="35"/>
      <c r="D1916" s="30" t="s">
        <v>1458</v>
      </c>
      <c r="E1916" s="15" t="s">
        <v>1669</v>
      </c>
    </row>
    <row r="1917" spans="1:5" x14ac:dyDescent="0.25">
      <c r="A1917" s="36" t="e">
        <f>VLOOKUP($C1917,'Variable Information'!$A$2:$E$480,5,FALSE)</f>
        <v>#N/A</v>
      </c>
      <c r="B1917" s="36" t="e">
        <f>VLOOKUP($C1917,'Variable Information'!$A$1:$C$480,3,FALSE)</f>
        <v>#N/A</v>
      </c>
      <c r="C1917" s="35"/>
      <c r="D1917" s="30" t="s">
        <v>1460</v>
      </c>
      <c r="E1917" s="15" t="s">
        <v>1678</v>
      </c>
    </row>
    <row r="1918" spans="1:5" x14ac:dyDescent="0.25">
      <c r="A1918" s="36" t="str">
        <f>VLOOKUP($C1918,'Variable Information'!$A$2:$E$480,5,FALSE)</f>
        <v>AJR_drm_7_d</v>
      </c>
      <c r="B1918" s="36" t="str">
        <f>VLOOKUP($C1918,'Variable Information'!$A$1:$C$480,3,FALSE)</f>
        <v>Q29_1_iter07_d. Agree or Disagree - A government department, local council or government agency - The process was affordable</v>
      </c>
      <c r="C1918" s="35" t="s">
        <v>1061</v>
      </c>
      <c r="D1918" s="30" t="s">
        <v>1447</v>
      </c>
      <c r="E1918" s="15" t="s">
        <v>1674</v>
      </c>
    </row>
    <row r="1919" spans="1:5" x14ac:dyDescent="0.25">
      <c r="A1919" s="36" t="e">
        <f>VLOOKUP($C1919,'Variable Information'!$A$2:$E$480,5,FALSE)</f>
        <v>#N/A</v>
      </c>
      <c r="B1919" s="36" t="e">
        <f>VLOOKUP($C1919,'Variable Information'!$A$1:$C$480,3,FALSE)</f>
        <v>#N/A</v>
      </c>
      <c r="C1919" s="35"/>
      <c r="D1919" s="30" t="s">
        <v>1449</v>
      </c>
      <c r="E1919" s="15" t="s">
        <v>1675</v>
      </c>
    </row>
    <row r="1920" spans="1:5" x14ac:dyDescent="0.25">
      <c r="A1920" s="36" t="e">
        <f>VLOOKUP($C1920,'Variable Information'!$A$2:$E$480,5,FALSE)</f>
        <v>#N/A</v>
      </c>
      <c r="B1920" s="36" t="e">
        <f>VLOOKUP($C1920,'Variable Information'!$A$1:$C$480,3,FALSE)</f>
        <v>#N/A</v>
      </c>
      <c r="C1920" s="35"/>
      <c r="D1920" s="30" t="s">
        <v>1451</v>
      </c>
      <c r="E1920" s="15" t="s">
        <v>1676</v>
      </c>
    </row>
    <row r="1921" spans="1:5" x14ac:dyDescent="0.25">
      <c r="A1921" s="36" t="e">
        <f>VLOOKUP($C1921,'Variable Information'!$A$2:$E$480,5,FALSE)</f>
        <v>#N/A</v>
      </c>
      <c r="B1921" s="36" t="e">
        <f>VLOOKUP($C1921,'Variable Information'!$A$1:$C$480,3,FALSE)</f>
        <v>#N/A</v>
      </c>
      <c r="C1921" s="35"/>
      <c r="D1921" s="30" t="s">
        <v>1456</v>
      </c>
      <c r="E1921" s="15" t="s">
        <v>1677</v>
      </c>
    </row>
    <row r="1922" spans="1:5" x14ac:dyDescent="0.25">
      <c r="A1922" s="36" t="e">
        <f>VLOOKUP($C1922,'Variable Information'!$A$2:$E$480,5,FALSE)</f>
        <v>#N/A</v>
      </c>
      <c r="B1922" s="36" t="e">
        <f>VLOOKUP($C1922,'Variable Information'!$A$1:$C$480,3,FALSE)</f>
        <v>#N/A</v>
      </c>
      <c r="C1922" s="35"/>
      <c r="D1922" s="30" t="s">
        <v>1458</v>
      </c>
      <c r="E1922" s="15" t="s">
        <v>1669</v>
      </c>
    </row>
    <row r="1923" spans="1:5" x14ac:dyDescent="0.25">
      <c r="A1923" s="36" t="e">
        <f>VLOOKUP($C1923,'Variable Information'!$A$2:$E$480,5,FALSE)</f>
        <v>#N/A</v>
      </c>
      <c r="B1923" s="36" t="e">
        <f>VLOOKUP($C1923,'Variable Information'!$A$1:$C$480,3,FALSE)</f>
        <v>#N/A</v>
      </c>
      <c r="C1923" s="35"/>
      <c r="D1923" s="30" t="s">
        <v>1460</v>
      </c>
      <c r="E1923" s="15" t="s">
        <v>1678</v>
      </c>
    </row>
    <row r="1924" spans="1:5" x14ac:dyDescent="0.25">
      <c r="A1924" s="36" t="str">
        <f>VLOOKUP($C1924,'Variable Information'!$A$2:$E$480,5,FALSE)</f>
        <v>AJR_drm_7_e</v>
      </c>
      <c r="B1924" s="36" t="str">
        <f>VLOOKUP($C1924,'Variable Information'!$A$1:$C$480,3,FALSE)</f>
        <v>Q29_1_iter07_e. Agree or Disagree - A government department, local council or government agency - The duration/length of the process was reasonable</v>
      </c>
      <c r="C1924" s="35" t="s">
        <v>1064</v>
      </c>
      <c r="D1924" s="30" t="s">
        <v>1447</v>
      </c>
      <c r="E1924" s="15" t="s">
        <v>1674</v>
      </c>
    </row>
    <row r="1925" spans="1:5" x14ac:dyDescent="0.25">
      <c r="A1925" s="36" t="e">
        <f>VLOOKUP($C1925,'Variable Information'!$A$2:$E$480,5,FALSE)</f>
        <v>#N/A</v>
      </c>
      <c r="B1925" s="36" t="e">
        <f>VLOOKUP($C1925,'Variable Information'!$A$1:$C$480,3,FALSE)</f>
        <v>#N/A</v>
      </c>
      <c r="C1925" s="35"/>
      <c r="D1925" s="30" t="s">
        <v>1449</v>
      </c>
      <c r="E1925" s="15" t="s">
        <v>1675</v>
      </c>
    </row>
    <row r="1926" spans="1:5" x14ac:dyDescent="0.25">
      <c r="A1926" s="36" t="e">
        <f>VLOOKUP($C1926,'Variable Information'!$A$2:$E$480,5,FALSE)</f>
        <v>#N/A</v>
      </c>
      <c r="B1926" s="36" t="e">
        <f>VLOOKUP($C1926,'Variable Information'!$A$1:$C$480,3,FALSE)</f>
        <v>#N/A</v>
      </c>
      <c r="C1926" s="35"/>
      <c r="D1926" s="30" t="s">
        <v>1451</v>
      </c>
      <c r="E1926" s="15" t="s">
        <v>1676</v>
      </c>
    </row>
    <row r="1927" spans="1:5" x14ac:dyDescent="0.25">
      <c r="A1927" s="36" t="e">
        <f>VLOOKUP($C1927,'Variable Information'!$A$2:$E$480,5,FALSE)</f>
        <v>#N/A</v>
      </c>
      <c r="B1927" s="36" t="e">
        <f>VLOOKUP($C1927,'Variable Information'!$A$1:$C$480,3,FALSE)</f>
        <v>#N/A</v>
      </c>
      <c r="C1927" s="35"/>
      <c r="D1927" s="30" t="s">
        <v>1456</v>
      </c>
      <c r="E1927" s="15" t="s">
        <v>1677</v>
      </c>
    </row>
    <row r="1928" spans="1:5" x14ac:dyDescent="0.25">
      <c r="A1928" s="36" t="e">
        <f>VLOOKUP($C1928,'Variable Information'!$A$2:$E$480,5,FALSE)</f>
        <v>#N/A</v>
      </c>
      <c r="B1928" s="36" t="e">
        <f>VLOOKUP($C1928,'Variable Information'!$A$1:$C$480,3,FALSE)</f>
        <v>#N/A</v>
      </c>
      <c r="C1928" s="35"/>
      <c r="D1928" s="30" t="s">
        <v>1458</v>
      </c>
      <c r="E1928" s="15" t="s">
        <v>1669</v>
      </c>
    </row>
    <row r="1929" spans="1:5" x14ac:dyDescent="0.25">
      <c r="A1929" s="36" t="e">
        <f>VLOOKUP($C1929,'Variable Information'!$A$2:$E$480,5,FALSE)</f>
        <v>#N/A</v>
      </c>
      <c r="B1929" s="36" t="e">
        <f>VLOOKUP($C1929,'Variable Information'!$A$1:$C$480,3,FALSE)</f>
        <v>#N/A</v>
      </c>
      <c r="C1929" s="35"/>
      <c r="D1929" s="30" t="s">
        <v>1460</v>
      </c>
      <c r="E1929" s="15" t="s">
        <v>1678</v>
      </c>
    </row>
    <row r="1930" spans="1:5" x14ac:dyDescent="0.25">
      <c r="A1930" s="36" t="str">
        <f>VLOOKUP($C1930,'Variable Information'!$A$2:$E$480,5,FALSE)</f>
        <v>AJR_drm_7_f</v>
      </c>
      <c r="B1930" s="36" t="str">
        <f>VLOOKUP($C1930,'Variable Information'!$A$1:$C$480,3,FALSE)</f>
        <v>Q29_1_iter07_f. Agree or Disagree - A government department, local council or government agency - The process was fair</v>
      </c>
      <c r="C1930" s="35" t="s">
        <v>1067</v>
      </c>
      <c r="D1930" s="30" t="s">
        <v>1447</v>
      </c>
      <c r="E1930" s="15" t="s">
        <v>1674</v>
      </c>
    </row>
    <row r="1931" spans="1:5" x14ac:dyDescent="0.25">
      <c r="A1931" s="36" t="e">
        <f>VLOOKUP($C1931,'Variable Information'!$A$2:$E$480,5,FALSE)</f>
        <v>#N/A</v>
      </c>
      <c r="B1931" s="36" t="e">
        <f>VLOOKUP($C1931,'Variable Information'!$A$1:$C$480,3,FALSE)</f>
        <v>#N/A</v>
      </c>
      <c r="C1931" s="35"/>
      <c r="D1931" s="30" t="s">
        <v>1449</v>
      </c>
      <c r="E1931" s="15" t="s">
        <v>1675</v>
      </c>
    </row>
    <row r="1932" spans="1:5" x14ac:dyDescent="0.25">
      <c r="A1932" s="36" t="e">
        <f>VLOOKUP($C1932,'Variable Information'!$A$2:$E$480,5,FALSE)</f>
        <v>#N/A</v>
      </c>
      <c r="B1932" s="36" t="e">
        <f>VLOOKUP($C1932,'Variable Information'!$A$1:$C$480,3,FALSE)</f>
        <v>#N/A</v>
      </c>
      <c r="C1932" s="35"/>
      <c r="D1932" s="30" t="s">
        <v>1451</v>
      </c>
      <c r="E1932" s="15" t="s">
        <v>1676</v>
      </c>
    </row>
    <row r="1933" spans="1:5" x14ac:dyDescent="0.25">
      <c r="A1933" s="36" t="e">
        <f>VLOOKUP($C1933,'Variable Information'!$A$2:$E$480,5,FALSE)</f>
        <v>#N/A</v>
      </c>
      <c r="B1933" s="36" t="e">
        <f>VLOOKUP($C1933,'Variable Information'!$A$1:$C$480,3,FALSE)</f>
        <v>#N/A</v>
      </c>
      <c r="C1933" s="35"/>
      <c r="D1933" s="30" t="s">
        <v>1456</v>
      </c>
      <c r="E1933" s="15" t="s">
        <v>1677</v>
      </c>
    </row>
    <row r="1934" spans="1:5" x14ac:dyDescent="0.25">
      <c r="A1934" s="36" t="e">
        <f>VLOOKUP($C1934,'Variable Information'!$A$2:$E$480,5,FALSE)</f>
        <v>#N/A</v>
      </c>
      <c r="B1934" s="36" t="e">
        <f>VLOOKUP($C1934,'Variable Information'!$A$1:$C$480,3,FALSE)</f>
        <v>#N/A</v>
      </c>
      <c r="C1934" s="35"/>
      <c r="D1934" s="30" t="s">
        <v>1458</v>
      </c>
      <c r="E1934" s="15" t="s">
        <v>1669</v>
      </c>
    </row>
    <row r="1935" spans="1:5" x14ac:dyDescent="0.25">
      <c r="A1935" s="36" t="e">
        <f>VLOOKUP($C1935,'Variable Information'!$A$2:$E$480,5,FALSE)</f>
        <v>#N/A</v>
      </c>
      <c r="B1935" s="36" t="e">
        <f>VLOOKUP($C1935,'Variable Information'!$A$1:$C$480,3,FALSE)</f>
        <v>#N/A</v>
      </c>
      <c r="C1935" s="35"/>
      <c r="D1935" s="30" t="s">
        <v>1460</v>
      </c>
      <c r="E1935" s="15" t="s">
        <v>1678</v>
      </c>
    </row>
    <row r="1936" spans="1:5" x14ac:dyDescent="0.25">
      <c r="A1936" s="36" t="str">
        <f>VLOOKUP($C1936,'Variable Information'!$A$2:$E$480,5,FALSE)</f>
        <v>AJR_drm_7_g</v>
      </c>
      <c r="B1936" s="36" t="str">
        <f>VLOOKUP($C1936,'Variable Information'!$A$1:$C$480,3,FALSE)</f>
        <v>Q29_1_iter07_g. Agree or Disagree - A government department, local council or government agency - The outcome was fair</v>
      </c>
      <c r="C1936" s="35" t="s">
        <v>1070</v>
      </c>
      <c r="D1936" s="30" t="s">
        <v>1447</v>
      </c>
      <c r="E1936" s="15" t="s">
        <v>1674</v>
      </c>
    </row>
    <row r="1937" spans="1:5" x14ac:dyDescent="0.25">
      <c r="A1937" s="36" t="e">
        <f>VLOOKUP($C1937,'Variable Information'!$A$2:$E$480,5,FALSE)</f>
        <v>#N/A</v>
      </c>
      <c r="B1937" s="36" t="e">
        <f>VLOOKUP($C1937,'Variable Information'!$A$1:$C$480,3,FALSE)</f>
        <v>#N/A</v>
      </c>
      <c r="C1937" s="35"/>
      <c r="D1937" s="30" t="s">
        <v>1449</v>
      </c>
      <c r="E1937" s="15" t="s">
        <v>1675</v>
      </c>
    </row>
    <row r="1938" spans="1:5" x14ac:dyDescent="0.25">
      <c r="A1938" s="36" t="e">
        <f>VLOOKUP($C1938,'Variable Information'!$A$2:$E$480,5,FALSE)</f>
        <v>#N/A</v>
      </c>
      <c r="B1938" s="36" t="e">
        <f>VLOOKUP($C1938,'Variable Information'!$A$1:$C$480,3,FALSE)</f>
        <v>#N/A</v>
      </c>
      <c r="C1938" s="35"/>
      <c r="D1938" s="30" t="s">
        <v>1451</v>
      </c>
      <c r="E1938" s="15" t="s">
        <v>1676</v>
      </c>
    </row>
    <row r="1939" spans="1:5" x14ac:dyDescent="0.25">
      <c r="A1939" s="36" t="e">
        <f>VLOOKUP($C1939,'Variable Information'!$A$2:$E$480,5,FALSE)</f>
        <v>#N/A</v>
      </c>
      <c r="B1939" s="36" t="e">
        <f>VLOOKUP($C1939,'Variable Information'!$A$1:$C$480,3,FALSE)</f>
        <v>#N/A</v>
      </c>
      <c r="C1939" s="35"/>
      <c r="D1939" s="30" t="s">
        <v>1456</v>
      </c>
      <c r="E1939" s="15" t="s">
        <v>1677</v>
      </c>
    </row>
    <row r="1940" spans="1:5" x14ac:dyDescent="0.25">
      <c r="A1940" s="36" t="e">
        <f>VLOOKUP($C1940,'Variable Information'!$A$2:$E$480,5,FALSE)</f>
        <v>#N/A</v>
      </c>
      <c r="B1940" s="36" t="e">
        <f>VLOOKUP($C1940,'Variable Information'!$A$1:$C$480,3,FALSE)</f>
        <v>#N/A</v>
      </c>
      <c r="C1940" s="35"/>
      <c r="D1940" s="30" t="s">
        <v>1458</v>
      </c>
      <c r="E1940" s="15" t="s">
        <v>1669</v>
      </c>
    </row>
    <row r="1941" spans="1:5" x14ac:dyDescent="0.25">
      <c r="A1941" s="36" t="e">
        <f>VLOOKUP($C1941,'Variable Information'!$A$2:$E$480,5,FALSE)</f>
        <v>#N/A</v>
      </c>
      <c r="B1941" s="36" t="e">
        <f>VLOOKUP($C1941,'Variable Information'!$A$1:$C$480,3,FALSE)</f>
        <v>#N/A</v>
      </c>
      <c r="C1941" s="35"/>
      <c r="D1941" s="30" t="s">
        <v>1460</v>
      </c>
      <c r="E1941" s="15" t="s">
        <v>1678</v>
      </c>
    </row>
    <row r="1942" spans="1:5" x14ac:dyDescent="0.25">
      <c r="A1942" s="36" t="str">
        <f>VLOOKUP($C1942,'Variable Information'!$A$2:$E$480,5,FALSE)</f>
        <v>AJR_drm_7_h</v>
      </c>
      <c r="B1942" s="36" t="str">
        <f>VLOOKUP($C1942,'Variable Information'!$A$1:$C$480,3,FALSE)</f>
        <v>Q29_1_iter07_h. Agree or Disagree - A government department, local council or government agency - &lt;&gt; was helpful</v>
      </c>
      <c r="C1942" s="35" t="s">
        <v>1073</v>
      </c>
      <c r="D1942" s="30" t="s">
        <v>1447</v>
      </c>
      <c r="E1942" s="15" t="s">
        <v>1674</v>
      </c>
    </row>
    <row r="1943" spans="1:5" x14ac:dyDescent="0.25">
      <c r="A1943" s="36" t="e">
        <f>VLOOKUP($C1943,'Variable Information'!$A$2:$E$480,5,FALSE)</f>
        <v>#N/A</v>
      </c>
      <c r="B1943" s="36" t="e">
        <f>VLOOKUP($C1943,'Variable Information'!$A$1:$C$480,3,FALSE)</f>
        <v>#N/A</v>
      </c>
      <c r="C1943" s="35"/>
      <c r="D1943" s="30" t="s">
        <v>1449</v>
      </c>
      <c r="E1943" s="15" t="s">
        <v>1675</v>
      </c>
    </row>
    <row r="1944" spans="1:5" x14ac:dyDescent="0.25">
      <c r="A1944" s="36" t="e">
        <f>VLOOKUP($C1944,'Variable Information'!$A$2:$E$480,5,FALSE)</f>
        <v>#N/A</v>
      </c>
      <c r="B1944" s="36" t="e">
        <f>VLOOKUP($C1944,'Variable Information'!$A$1:$C$480,3,FALSE)</f>
        <v>#N/A</v>
      </c>
      <c r="C1944" s="35"/>
      <c r="D1944" s="30" t="s">
        <v>1451</v>
      </c>
      <c r="E1944" s="15" t="s">
        <v>1676</v>
      </c>
    </row>
    <row r="1945" spans="1:5" x14ac:dyDescent="0.25">
      <c r="A1945" s="36" t="e">
        <f>VLOOKUP($C1945,'Variable Information'!$A$2:$E$480,5,FALSE)</f>
        <v>#N/A</v>
      </c>
      <c r="B1945" s="36" t="e">
        <f>VLOOKUP($C1945,'Variable Information'!$A$1:$C$480,3,FALSE)</f>
        <v>#N/A</v>
      </c>
      <c r="C1945" s="35"/>
      <c r="D1945" s="30" t="s">
        <v>1456</v>
      </c>
      <c r="E1945" s="15" t="s">
        <v>1677</v>
      </c>
    </row>
    <row r="1946" spans="1:5" x14ac:dyDescent="0.25">
      <c r="A1946" s="36" t="e">
        <f>VLOOKUP($C1946,'Variable Information'!$A$2:$E$480,5,FALSE)</f>
        <v>#N/A</v>
      </c>
      <c r="B1946" s="36" t="e">
        <f>VLOOKUP($C1946,'Variable Information'!$A$1:$C$480,3,FALSE)</f>
        <v>#N/A</v>
      </c>
      <c r="C1946" s="35"/>
      <c r="D1946" s="30" t="s">
        <v>1458</v>
      </c>
      <c r="E1946" s="15" t="s">
        <v>1669</v>
      </c>
    </row>
    <row r="1947" spans="1:5" x14ac:dyDescent="0.25">
      <c r="A1947" s="36" t="e">
        <f>VLOOKUP($C1947,'Variable Information'!$A$2:$E$480,5,FALSE)</f>
        <v>#N/A</v>
      </c>
      <c r="B1947" s="36" t="e">
        <f>VLOOKUP($C1947,'Variable Information'!$A$1:$C$480,3,FALSE)</f>
        <v>#N/A</v>
      </c>
      <c r="C1947" s="35"/>
      <c r="D1947" s="30" t="s">
        <v>1460</v>
      </c>
      <c r="E1947" s="15" t="s">
        <v>1678</v>
      </c>
    </row>
    <row r="1948" spans="1:5" x14ac:dyDescent="0.25">
      <c r="A1948" s="36" t="str">
        <f>VLOOKUP($C1948,'Variable Information'!$A$2:$E$480,5,FALSE)</f>
        <v>AJR_drm_7_i</v>
      </c>
      <c r="B1948" s="36" t="str">
        <f>VLOOKUP($C1948,'Variable Information'!$A$1:$C$480,3,FALSE)</f>
        <v>Q29_1_iter07_i. Agree or Disagree - A government department, local council or government agency - &lt;&gt; took my concerns and experiences seriously</v>
      </c>
      <c r="C1948" s="35" t="s">
        <v>1076</v>
      </c>
      <c r="D1948" s="30" t="s">
        <v>1447</v>
      </c>
      <c r="E1948" s="15" t="s">
        <v>1674</v>
      </c>
    </row>
    <row r="1949" spans="1:5" x14ac:dyDescent="0.25">
      <c r="A1949" s="36" t="e">
        <f>VLOOKUP($C1949,'Variable Information'!$A$2:$E$480,5,FALSE)</f>
        <v>#N/A</v>
      </c>
      <c r="B1949" s="36" t="e">
        <f>VLOOKUP($C1949,'Variable Information'!$A$1:$C$480,3,FALSE)</f>
        <v>#N/A</v>
      </c>
      <c r="C1949" s="35"/>
      <c r="D1949" s="30" t="s">
        <v>1449</v>
      </c>
      <c r="E1949" s="15" t="s">
        <v>1675</v>
      </c>
    </row>
    <row r="1950" spans="1:5" x14ac:dyDescent="0.25">
      <c r="A1950" s="36" t="e">
        <f>VLOOKUP($C1950,'Variable Information'!$A$2:$E$480,5,FALSE)</f>
        <v>#N/A</v>
      </c>
      <c r="B1950" s="36" t="e">
        <f>VLOOKUP($C1950,'Variable Information'!$A$1:$C$480,3,FALSE)</f>
        <v>#N/A</v>
      </c>
      <c r="C1950" s="35"/>
      <c r="D1950" s="30" t="s">
        <v>1451</v>
      </c>
      <c r="E1950" s="15" t="s">
        <v>1676</v>
      </c>
    </row>
    <row r="1951" spans="1:5" x14ac:dyDescent="0.25">
      <c r="A1951" s="36" t="e">
        <f>VLOOKUP($C1951,'Variable Information'!$A$2:$E$480,5,FALSE)</f>
        <v>#N/A</v>
      </c>
      <c r="B1951" s="36" t="e">
        <f>VLOOKUP($C1951,'Variable Information'!$A$1:$C$480,3,FALSE)</f>
        <v>#N/A</v>
      </c>
      <c r="C1951" s="35"/>
      <c r="D1951" s="30" t="s">
        <v>1456</v>
      </c>
      <c r="E1951" s="15" t="s">
        <v>1677</v>
      </c>
    </row>
    <row r="1952" spans="1:5" x14ac:dyDescent="0.25">
      <c r="A1952" s="36" t="e">
        <f>VLOOKUP($C1952,'Variable Information'!$A$2:$E$480,5,FALSE)</f>
        <v>#N/A</v>
      </c>
      <c r="B1952" s="36" t="e">
        <f>VLOOKUP($C1952,'Variable Information'!$A$1:$C$480,3,FALSE)</f>
        <v>#N/A</v>
      </c>
      <c r="C1952" s="35"/>
      <c r="D1952" s="30" t="s">
        <v>1458</v>
      </c>
      <c r="E1952" s="15" t="s">
        <v>1669</v>
      </c>
    </row>
    <row r="1953" spans="1:5" x14ac:dyDescent="0.25">
      <c r="A1953" s="36" t="e">
        <f>VLOOKUP($C1953,'Variable Information'!$A$2:$E$480,5,FALSE)</f>
        <v>#N/A</v>
      </c>
      <c r="B1953" s="36" t="e">
        <f>VLOOKUP($C1953,'Variable Information'!$A$1:$C$480,3,FALSE)</f>
        <v>#N/A</v>
      </c>
      <c r="C1953" s="35"/>
      <c r="D1953" s="30" t="s">
        <v>1460</v>
      </c>
      <c r="E1953" s="15" t="s">
        <v>1678</v>
      </c>
    </row>
    <row r="1954" spans="1:5" x14ac:dyDescent="0.25">
      <c r="A1954" s="36" t="str">
        <f>VLOOKUP($C1954,'Variable Information'!$A$2:$E$480,5,FALSE)</f>
        <v>AJR_drm_8_a</v>
      </c>
      <c r="B1954" s="36" t="str">
        <f>VLOOKUP($C1954,'Variable Information'!$A$1:$C$480,3,FALSE)</f>
        <v>Q29_1_iter08_a. Agree or Disagree - A community leader, or other person of standing - Both parties had the same opportunity to explain their position</v>
      </c>
      <c r="C1954" s="35" t="s">
        <v>1079</v>
      </c>
      <c r="D1954" s="30" t="s">
        <v>1447</v>
      </c>
      <c r="E1954" s="15" t="s">
        <v>1674</v>
      </c>
    </row>
    <row r="1955" spans="1:5" x14ac:dyDescent="0.25">
      <c r="A1955" s="36" t="e">
        <f>VLOOKUP($C1955,'Variable Information'!$A$2:$E$480,5,FALSE)</f>
        <v>#N/A</v>
      </c>
      <c r="B1955" s="36" t="e">
        <f>VLOOKUP($C1955,'Variable Information'!$A$1:$C$480,3,FALSE)</f>
        <v>#N/A</v>
      </c>
      <c r="C1955" s="35"/>
      <c r="D1955" s="30" t="s">
        <v>1449</v>
      </c>
      <c r="E1955" s="15" t="s">
        <v>1675</v>
      </c>
    </row>
    <row r="1956" spans="1:5" x14ac:dyDescent="0.25">
      <c r="A1956" s="36" t="e">
        <f>VLOOKUP($C1956,'Variable Information'!$A$2:$E$480,5,FALSE)</f>
        <v>#N/A</v>
      </c>
      <c r="B1956" s="36" t="e">
        <f>VLOOKUP($C1956,'Variable Information'!$A$1:$C$480,3,FALSE)</f>
        <v>#N/A</v>
      </c>
      <c r="C1956" s="35"/>
      <c r="D1956" s="30" t="s">
        <v>1451</v>
      </c>
      <c r="E1956" s="15" t="s">
        <v>1676</v>
      </c>
    </row>
    <row r="1957" spans="1:5" x14ac:dyDescent="0.25">
      <c r="A1957" s="36" t="e">
        <f>VLOOKUP($C1957,'Variable Information'!$A$2:$E$480,5,FALSE)</f>
        <v>#N/A</v>
      </c>
      <c r="B1957" s="36" t="e">
        <f>VLOOKUP($C1957,'Variable Information'!$A$1:$C$480,3,FALSE)</f>
        <v>#N/A</v>
      </c>
      <c r="C1957" s="35"/>
      <c r="D1957" s="30" t="s">
        <v>1456</v>
      </c>
      <c r="E1957" s="15" t="s">
        <v>1677</v>
      </c>
    </row>
    <row r="1958" spans="1:5" x14ac:dyDescent="0.25">
      <c r="A1958" s="36" t="e">
        <f>VLOOKUP($C1958,'Variable Information'!$A$2:$E$480,5,FALSE)</f>
        <v>#N/A</v>
      </c>
      <c r="B1958" s="36" t="e">
        <f>VLOOKUP($C1958,'Variable Information'!$A$1:$C$480,3,FALSE)</f>
        <v>#N/A</v>
      </c>
      <c r="C1958" s="35"/>
      <c r="D1958" s="30" t="s">
        <v>1458</v>
      </c>
      <c r="E1958" s="15" t="s">
        <v>1669</v>
      </c>
    </row>
    <row r="1959" spans="1:5" x14ac:dyDescent="0.25">
      <c r="A1959" s="36" t="e">
        <f>VLOOKUP($C1959,'Variable Information'!$A$2:$E$480,5,FALSE)</f>
        <v>#N/A</v>
      </c>
      <c r="B1959" s="36" t="e">
        <f>VLOOKUP($C1959,'Variable Information'!$A$1:$C$480,3,FALSE)</f>
        <v>#N/A</v>
      </c>
      <c r="C1959" s="35"/>
      <c r="D1959" s="30" t="s">
        <v>1460</v>
      </c>
      <c r="E1959" s="15" t="s">
        <v>1678</v>
      </c>
    </row>
    <row r="1960" spans="1:5" x14ac:dyDescent="0.25">
      <c r="A1960" s="36" t="str">
        <f>VLOOKUP($C1960,'Variable Information'!$A$2:$E$480,5,FALSE)</f>
        <v>AJR_drm_8_b</v>
      </c>
      <c r="B1960" s="36" t="str">
        <f>VLOOKUP($C1960,'Variable Information'!$A$1:$C$480,3,FALSE)</f>
        <v>Q29_1_iter08_b. Agree or Disagree - A community leader, or other person of standing - The justification for the decision/outcome was clearly explained to me</v>
      </c>
      <c r="C1960" s="35" t="s">
        <v>1082</v>
      </c>
      <c r="D1960" s="30" t="s">
        <v>1447</v>
      </c>
      <c r="E1960" s="15" t="s">
        <v>1674</v>
      </c>
    </row>
    <row r="1961" spans="1:5" x14ac:dyDescent="0.25">
      <c r="A1961" s="36" t="e">
        <f>VLOOKUP($C1961,'Variable Information'!$A$2:$E$480,5,FALSE)</f>
        <v>#N/A</v>
      </c>
      <c r="B1961" s="36" t="e">
        <f>VLOOKUP($C1961,'Variable Information'!$A$1:$C$480,3,FALSE)</f>
        <v>#N/A</v>
      </c>
      <c r="C1961" s="35"/>
      <c r="D1961" s="30" t="s">
        <v>1449</v>
      </c>
      <c r="E1961" s="15" t="s">
        <v>1675</v>
      </c>
    </row>
    <row r="1962" spans="1:5" x14ac:dyDescent="0.25">
      <c r="A1962" s="36" t="e">
        <f>VLOOKUP($C1962,'Variable Information'!$A$2:$E$480,5,FALSE)</f>
        <v>#N/A</v>
      </c>
      <c r="B1962" s="36" t="e">
        <f>VLOOKUP($C1962,'Variable Information'!$A$1:$C$480,3,FALSE)</f>
        <v>#N/A</v>
      </c>
      <c r="C1962" s="35"/>
      <c r="D1962" s="30" t="s">
        <v>1451</v>
      </c>
      <c r="E1962" s="15" t="s">
        <v>1676</v>
      </c>
    </row>
    <row r="1963" spans="1:5" x14ac:dyDescent="0.25">
      <c r="A1963" s="36" t="e">
        <f>VLOOKUP($C1963,'Variable Information'!$A$2:$E$480,5,FALSE)</f>
        <v>#N/A</v>
      </c>
      <c r="B1963" s="36" t="e">
        <f>VLOOKUP($C1963,'Variable Information'!$A$1:$C$480,3,FALSE)</f>
        <v>#N/A</v>
      </c>
      <c r="C1963" s="35"/>
      <c r="D1963" s="30" t="s">
        <v>1456</v>
      </c>
      <c r="E1963" s="15" t="s">
        <v>1677</v>
      </c>
    </row>
    <row r="1964" spans="1:5" x14ac:dyDescent="0.25">
      <c r="A1964" s="36" t="e">
        <f>VLOOKUP($C1964,'Variable Information'!$A$2:$E$480,5,FALSE)</f>
        <v>#N/A</v>
      </c>
      <c r="B1964" s="36" t="e">
        <f>VLOOKUP($C1964,'Variable Information'!$A$1:$C$480,3,FALSE)</f>
        <v>#N/A</v>
      </c>
      <c r="C1964" s="35"/>
      <c r="D1964" s="30" t="s">
        <v>1458</v>
      </c>
      <c r="E1964" s="15" t="s">
        <v>1669</v>
      </c>
    </row>
    <row r="1965" spans="1:5" x14ac:dyDescent="0.25">
      <c r="A1965" s="36" t="e">
        <f>VLOOKUP($C1965,'Variable Information'!$A$2:$E$480,5,FALSE)</f>
        <v>#N/A</v>
      </c>
      <c r="B1965" s="36" t="e">
        <f>VLOOKUP($C1965,'Variable Information'!$A$1:$C$480,3,FALSE)</f>
        <v>#N/A</v>
      </c>
      <c r="C1965" s="35"/>
      <c r="D1965" s="30" t="s">
        <v>1460</v>
      </c>
      <c r="E1965" s="15" t="s">
        <v>1678</v>
      </c>
    </row>
    <row r="1966" spans="1:5" x14ac:dyDescent="0.25">
      <c r="A1966" s="36" t="str">
        <f>VLOOKUP($C1966,'Variable Information'!$A$2:$E$480,5,FALSE)</f>
        <v>AJR_drm_8_c</v>
      </c>
      <c r="B1966" s="36" t="str">
        <f>VLOOKUP($C1966,'Variable Information'!$A$1:$C$480,3,FALSE)</f>
        <v>Q29_1_iter08_c. Agree or Disagree - A community leader, or other person of standing - The process was efficient</v>
      </c>
      <c r="C1966" s="35" t="s">
        <v>1085</v>
      </c>
      <c r="D1966" s="30" t="s">
        <v>1447</v>
      </c>
      <c r="E1966" s="15" t="s">
        <v>1674</v>
      </c>
    </row>
    <row r="1967" spans="1:5" x14ac:dyDescent="0.25">
      <c r="A1967" s="36" t="e">
        <f>VLOOKUP($C1967,'Variable Information'!$A$2:$E$480,5,FALSE)</f>
        <v>#N/A</v>
      </c>
      <c r="B1967" s="36" t="e">
        <f>VLOOKUP($C1967,'Variable Information'!$A$1:$C$480,3,FALSE)</f>
        <v>#N/A</v>
      </c>
      <c r="C1967" s="35"/>
      <c r="D1967" s="30" t="s">
        <v>1449</v>
      </c>
      <c r="E1967" s="15" t="s">
        <v>1675</v>
      </c>
    </row>
    <row r="1968" spans="1:5" x14ac:dyDescent="0.25">
      <c r="A1968" s="36" t="e">
        <f>VLOOKUP($C1968,'Variable Information'!$A$2:$E$480,5,FALSE)</f>
        <v>#N/A</v>
      </c>
      <c r="B1968" s="36" t="e">
        <f>VLOOKUP($C1968,'Variable Information'!$A$1:$C$480,3,FALSE)</f>
        <v>#N/A</v>
      </c>
      <c r="C1968" s="35"/>
      <c r="D1968" s="30" t="s">
        <v>1451</v>
      </c>
      <c r="E1968" s="15" t="s">
        <v>1676</v>
      </c>
    </row>
    <row r="1969" spans="1:5" x14ac:dyDescent="0.25">
      <c r="A1969" s="36" t="e">
        <f>VLOOKUP($C1969,'Variable Information'!$A$2:$E$480,5,FALSE)</f>
        <v>#N/A</v>
      </c>
      <c r="B1969" s="36" t="e">
        <f>VLOOKUP($C1969,'Variable Information'!$A$1:$C$480,3,FALSE)</f>
        <v>#N/A</v>
      </c>
      <c r="C1969" s="35"/>
      <c r="D1969" s="30" t="s">
        <v>1456</v>
      </c>
      <c r="E1969" s="15" t="s">
        <v>1677</v>
      </c>
    </row>
    <row r="1970" spans="1:5" x14ac:dyDescent="0.25">
      <c r="A1970" s="36" t="e">
        <f>VLOOKUP($C1970,'Variable Information'!$A$2:$E$480,5,FALSE)</f>
        <v>#N/A</v>
      </c>
      <c r="B1970" s="36" t="e">
        <f>VLOOKUP($C1970,'Variable Information'!$A$1:$C$480,3,FALSE)</f>
        <v>#N/A</v>
      </c>
      <c r="C1970" s="35"/>
      <c r="D1970" s="30" t="s">
        <v>1458</v>
      </c>
      <c r="E1970" s="15" t="s">
        <v>1669</v>
      </c>
    </row>
    <row r="1971" spans="1:5" x14ac:dyDescent="0.25">
      <c r="A1971" s="36" t="e">
        <f>VLOOKUP($C1971,'Variable Information'!$A$2:$E$480,5,FALSE)</f>
        <v>#N/A</v>
      </c>
      <c r="B1971" s="36" t="e">
        <f>VLOOKUP($C1971,'Variable Information'!$A$1:$C$480,3,FALSE)</f>
        <v>#N/A</v>
      </c>
      <c r="C1971" s="35"/>
      <c r="D1971" s="30" t="s">
        <v>1460</v>
      </c>
      <c r="E1971" s="15" t="s">
        <v>1678</v>
      </c>
    </row>
    <row r="1972" spans="1:5" x14ac:dyDescent="0.25">
      <c r="A1972" s="36" t="str">
        <f>VLOOKUP($C1972,'Variable Information'!$A$2:$E$480,5,FALSE)</f>
        <v>AJR_drm_8_d</v>
      </c>
      <c r="B1972" s="36" t="str">
        <f>VLOOKUP($C1972,'Variable Information'!$A$1:$C$480,3,FALSE)</f>
        <v>Q29_1_iter08_d. Agree or Disagree - A community leader, or other person of standing - The process was affordable</v>
      </c>
      <c r="C1972" s="35" t="s">
        <v>1088</v>
      </c>
      <c r="D1972" s="30" t="s">
        <v>1447</v>
      </c>
      <c r="E1972" s="15" t="s">
        <v>1674</v>
      </c>
    </row>
    <row r="1973" spans="1:5" x14ac:dyDescent="0.25">
      <c r="A1973" s="36" t="e">
        <f>VLOOKUP($C1973,'Variable Information'!$A$2:$E$480,5,FALSE)</f>
        <v>#N/A</v>
      </c>
      <c r="B1973" s="36" t="e">
        <f>VLOOKUP($C1973,'Variable Information'!$A$1:$C$480,3,FALSE)</f>
        <v>#N/A</v>
      </c>
      <c r="C1973" s="35"/>
      <c r="D1973" s="30" t="s">
        <v>1449</v>
      </c>
      <c r="E1973" s="15" t="s">
        <v>1675</v>
      </c>
    </row>
    <row r="1974" spans="1:5" x14ac:dyDescent="0.25">
      <c r="A1974" s="36" t="e">
        <f>VLOOKUP($C1974,'Variable Information'!$A$2:$E$480,5,FALSE)</f>
        <v>#N/A</v>
      </c>
      <c r="B1974" s="36" t="e">
        <f>VLOOKUP($C1974,'Variable Information'!$A$1:$C$480,3,FALSE)</f>
        <v>#N/A</v>
      </c>
      <c r="C1974" s="35"/>
      <c r="D1974" s="30" t="s">
        <v>1451</v>
      </c>
      <c r="E1974" s="15" t="s">
        <v>1676</v>
      </c>
    </row>
    <row r="1975" spans="1:5" x14ac:dyDescent="0.25">
      <c r="A1975" s="36" t="e">
        <f>VLOOKUP($C1975,'Variable Information'!$A$2:$E$480,5,FALSE)</f>
        <v>#N/A</v>
      </c>
      <c r="B1975" s="36" t="e">
        <f>VLOOKUP($C1975,'Variable Information'!$A$1:$C$480,3,FALSE)</f>
        <v>#N/A</v>
      </c>
      <c r="C1975" s="35"/>
      <c r="D1975" s="30" t="s">
        <v>1456</v>
      </c>
      <c r="E1975" s="15" t="s">
        <v>1677</v>
      </c>
    </row>
    <row r="1976" spans="1:5" x14ac:dyDescent="0.25">
      <c r="A1976" s="36" t="e">
        <f>VLOOKUP($C1976,'Variable Information'!$A$2:$E$480,5,FALSE)</f>
        <v>#N/A</v>
      </c>
      <c r="B1976" s="36" t="e">
        <f>VLOOKUP($C1976,'Variable Information'!$A$1:$C$480,3,FALSE)</f>
        <v>#N/A</v>
      </c>
      <c r="C1976" s="35"/>
      <c r="D1976" s="30" t="s">
        <v>1458</v>
      </c>
      <c r="E1976" s="15" t="s">
        <v>1669</v>
      </c>
    </row>
    <row r="1977" spans="1:5" x14ac:dyDescent="0.25">
      <c r="A1977" s="36" t="e">
        <f>VLOOKUP($C1977,'Variable Information'!$A$2:$E$480,5,FALSE)</f>
        <v>#N/A</v>
      </c>
      <c r="B1977" s="36" t="e">
        <f>VLOOKUP($C1977,'Variable Information'!$A$1:$C$480,3,FALSE)</f>
        <v>#N/A</v>
      </c>
      <c r="C1977" s="35"/>
      <c r="D1977" s="30" t="s">
        <v>1460</v>
      </c>
      <c r="E1977" s="15" t="s">
        <v>1678</v>
      </c>
    </row>
    <row r="1978" spans="1:5" x14ac:dyDescent="0.25">
      <c r="A1978" s="36" t="str">
        <f>VLOOKUP($C1978,'Variable Information'!$A$2:$E$480,5,FALSE)</f>
        <v>AJR_drm_8_e</v>
      </c>
      <c r="B1978" s="36" t="str">
        <f>VLOOKUP($C1978,'Variable Information'!$A$1:$C$480,3,FALSE)</f>
        <v>Q29_1_iter08_e. Agree or Disagree - A community leader, or other person of standing - The duration/length of the process was reasonable</v>
      </c>
      <c r="C1978" s="35" t="s">
        <v>1091</v>
      </c>
      <c r="D1978" s="30" t="s">
        <v>1447</v>
      </c>
      <c r="E1978" s="15" t="s">
        <v>1674</v>
      </c>
    </row>
    <row r="1979" spans="1:5" x14ac:dyDescent="0.25">
      <c r="A1979" s="36" t="e">
        <f>VLOOKUP($C1979,'Variable Information'!$A$2:$E$480,5,FALSE)</f>
        <v>#N/A</v>
      </c>
      <c r="B1979" s="36" t="e">
        <f>VLOOKUP($C1979,'Variable Information'!$A$1:$C$480,3,FALSE)</f>
        <v>#N/A</v>
      </c>
      <c r="C1979" s="35"/>
      <c r="D1979" s="30" t="s">
        <v>1449</v>
      </c>
      <c r="E1979" s="15" t="s">
        <v>1675</v>
      </c>
    </row>
    <row r="1980" spans="1:5" x14ac:dyDescent="0.25">
      <c r="A1980" s="36" t="e">
        <f>VLOOKUP($C1980,'Variable Information'!$A$2:$E$480,5,FALSE)</f>
        <v>#N/A</v>
      </c>
      <c r="B1980" s="36" t="e">
        <f>VLOOKUP($C1980,'Variable Information'!$A$1:$C$480,3,FALSE)</f>
        <v>#N/A</v>
      </c>
      <c r="C1980" s="35"/>
      <c r="D1980" s="30" t="s">
        <v>1451</v>
      </c>
      <c r="E1980" s="15" t="s">
        <v>1676</v>
      </c>
    </row>
    <row r="1981" spans="1:5" x14ac:dyDescent="0.25">
      <c r="A1981" s="36" t="e">
        <f>VLOOKUP($C1981,'Variable Information'!$A$2:$E$480,5,FALSE)</f>
        <v>#N/A</v>
      </c>
      <c r="B1981" s="36" t="e">
        <f>VLOOKUP($C1981,'Variable Information'!$A$1:$C$480,3,FALSE)</f>
        <v>#N/A</v>
      </c>
      <c r="C1981" s="35"/>
      <c r="D1981" s="30" t="s">
        <v>1456</v>
      </c>
      <c r="E1981" s="15" t="s">
        <v>1677</v>
      </c>
    </row>
    <row r="1982" spans="1:5" x14ac:dyDescent="0.25">
      <c r="A1982" s="36" t="e">
        <f>VLOOKUP($C1982,'Variable Information'!$A$2:$E$480,5,FALSE)</f>
        <v>#N/A</v>
      </c>
      <c r="B1982" s="36" t="e">
        <f>VLOOKUP($C1982,'Variable Information'!$A$1:$C$480,3,FALSE)</f>
        <v>#N/A</v>
      </c>
      <c r="C1982" s="35"/>
      <c r="D1982" s="30" t="s">
        <v>1458</v>
      </c>
      <c r="E1982" s="15" t="s">
        <v>1669</v>
      </c>
    </row>
    <row r="1983" spans="1:5" x14ac:dyDescent="0.25">
      <c r="A1983" s="36" t="e">
        <f>VLOOKUP($C1983,'Variable Information'!$A$2:$E$480,5,FALSE)</f>
        <v>#N/A</v>
      </c>
      <c r="B1983" s="36" t="e">
        <f>VLOOKUP($C1983,'Variable Information'!$A$1:$C$480,3,FALSE)</f>
        <v>#N/A</v>
      </c>
      <c r="C1983" s="35"/>
      <c r="D1983" s="30" t="s">
        <v>1460</v>
      </c>
      <c r="E1983" s="15" t="s">
        <v>1678</v>
      </c>
    </row>
    <row r="1984" spans="1:5" x14ac:dyDescent="0.25">
      <c r="A1984" s="36" t="str">
        <f>VLOOKUP($C1984,'Variable Information'!$A$2:$E$480,5,FALSE)</f>
        <v>AJR_drm_8_f</v>
      </c>
      <c r="B1984" s="36" t="str">
        <f>VLOOKUP($C1984,'Variable Information'!$A$1:$C$480,3,FALSE)</f>
        <v>Q29_1_iter08_f. Agree or Disagree - A community leader, or other person of standing - The process was fair</v>
      </c>
      <c r="C1984" s="35" t="s">
        <v>1094</v>
      </c>
      <c r="D1984" s="30" t="s">
        <v>1447</v>
      </c>
      <c r="E1984" s="15" t="s">
        <v>1674</v>
      </c>
    </row>
    <row r="1985" spans="1:5" x14ac:dyDescent="0.25">
      <c r="A1985" s="36" t="e">
        <f>VLOOKUP($C1985,'Variable Information'!$A$2:$E$480,5,FALSE)</f>
        <v>#N/A</v>
      </c>
      <c r="B1985" s="36" t="e">
        <f>VLOOKUP($C1985,'Variable Information'!$A$1:$C$480,3,FALSE)</f>
        <v>#N/A</v>
      </c>
      <c r="C1985" s="35"/>
      <c r="D1985" s="30" t="s">
        <v>1449</v>
      </c>
      <c r="E1985" s="15" t="s">
        <v>1675</v>
      </c>
    </row>
    <row r="1986" spans="1:5" x14ac:dyDescent="0.25">
      <c r="A1986" s="36" t="e">
        <f>VLOOKUP($C1986,'Variable Information'!$A$2:$E$480,5,FALSE)</f>
        <v>#N/A</v>
      </c>
      <c r="B1986" s="36" t="e">
        <f>VLOOKUP($C1986,'Variable Information'!$A$1:$C$480,3,FALSE)</f>
        <v>#N/A</v>
      </c>
      <c r="C1986" s="35"/>
      <c r="D1986" s="30" t="s">
        <v>1451</v>
      </c>
      <c r="E1986" s="15" t="s">
        <v>1676</v>
      </c>
    </row>
    <row r="1987" spans="1:5" x14ac:dyDescent="0.25">
      <c r="A1987" s="36" t="e">
        <f>VLOOKUP($C1987,'Variable Information'!$A$2:$E$480,5,FALSE)</f>
        <v>#N/A</v>
      </c>
      <c r="B1987" s="36" t="e">
        <f>VLOOKUP($C1987,'Variable Information'!$A$1:$C$480,3,FALSE)</f>
        <v>#N/A</v>
      </c>
      <c r="C1987" s="35"/>
      <c r="D1987" s="30" t="s">
        <v>1456</v>
      </c>
      <c r="E1987" s="15" t="s">
        <v>1677</v>
      </c>
    </row>
    <row r="1988" spans="1:5" x14ac:dyDescent="0.25">
      <c r="A1988" s="36" t="e">
        <f>VLOOKUP($C1988,'Variable Information'!$A$2:$E$480,5,FALSE)</f>
        <v>#N/A</v>
      </c>
      <c r="B1988" s="36" t="e">
        <f>VLOOKUP($C1988,'Variable Information'!$A$1:$C$480,3,FALSE)</f>
        <v>#N/A</v>
      </c>
      <c r="C1988" s="35"/>
      <c r="D1988" s="30" t="s">
        <v>1458</v>
      </c>
      <c r="E1988" s="15" t="s">
        <v>1669</v>
      </c>
    </row>
    <row r="1989" spans="1:5" x14ac:dyDescent="0.25">
      <c r="A1989" s="36" t="e">
        <f>VLOOKUP($C1989,'Variable Information'!$A$2:$E$480,5,FALSE)</f>
        <v>#N/A</v>
      </c>
      <c r="B1989" s="36" t="e">
        <f>VLOOKUP($C1989,'Variable Information'!$A$1:$C$480,3,FALSE)</f>
        <v>#N/A</v>
      </c>
      <c r="C1989" s="35"/>
      <c r="D1989" s="30" t="s">
        <v>1460</v>
      </c>
      <c r="E1989" s="15" t="s">
        <v>1678</v>
      </c>
    </row>
    <row r="1990" spans="1:5" x14ac:dyDescent="0.25">
      <c r="A1990" s="36" t="str">
        <f>VLOOKUP($C1990,'Variable Information'!$A$2:$E$480,5,FALSE)</f>
        <v>AJR_drm_8_g</v>
      </c>
      <c r="B1990" s="36" t="str">
        <f>VLOOKUP($C1990,'Variable Information'!$A$1:$C$480,3,FALSE)</f>
        <v>Q29_1_iter08_g. Agree or Disagree - A community leader, or other person of standing - The outcome was fair</v>
      </c>
      <c r="C1990" s="35" t="s">
        <v>1097</v>
      </c>
      <c r="D1990" s="30" t="s">
        <v>1447</v>
      </c>
      <c r="E1990" s="15" t="s">
        <v>1674</v>
      </c>
    </row>
    <row r="1991" spans="1:5" x14ac:dyDescent="0.25">
      <c r="A1991" s="36" t="e">
        <f>VLOOKUP($C1991,'Variable Information'!$A$2:$E$480,5,FALSE)</f>
        <v>#N/A</v>
      </c>
      <c r="B1991" s="36" t="e">
        <f>VLOOKUP($C1991,'Variable Information'!$A$1:$C$480,3,FALSE)</f>
        <v>#N/A</v>
      </c>
      <c r="C1991" s="35"/>
      <c r="D1991" s="30" t="s">
        <v>1449</v>
      </c>
      <c r="E1991" s="15" t="s">
        <v>1675</v>
      </c>
    </row>
    <row r="1992" spans="1:5" x14ac:dyDescent="0.25">
      <c r="A1992" s="36" t="e">
        <f>VLOOKUP($C1992,'Variable Information'!$A$2:$E$480,5,FALSE)</f>
        <v>#N/A</v>
      </c>
      <c r="B1992" s="36" t="e">
        <f>VLOOKUP($C1992,'Variable Information'!$A$1:$C$480,3,FALSE)</f>
        <v>#N/A</v>
      </c>
      <c r="C1992" s="35"/>
      <c r="D1992" s="30" t="s">
        <v>1451</v>
      </c>
      <c r="E1992" s="15" t="s">
        <v>1676</v>
      </c>
    </row>
    <row r="1993" spans="1:5" x14ac:dyDescent="0.25">
      <c r="A1993" s="36" t="e">
        <f>VLOOKUP($C1993,'Variable Information'!$A$2:$E$480,5,FALSE)</f>
        <v>#N/A</v>
      </c>
      <c r="B1993" s="36" t="e">
        <f>VLOOKUP($C1993,'Variable Information'!$A$1:$C$480,3,FALSE)</f>
        <v>#N/A</v>
      </c>
      <c r="C1993" s="35"/>
      <c r="D1993" s="30" t="s">
        <v>1456</v>
      </c>
      <c r="E1993" s="15" t="s">
        <v>1677</v>
      </c>
    </row>
    <row r="1994" spans="1:5" x14ac:dyDescent="0.25">
      <c r="A1994" s="36" t="e">
        <f>VLOOKUP($C1994,'Variable Information'!$A$2:$E$480,5,FALSE)</f>
        <v>#N/A</v>
      </c>
      <c r="B1994" s="36" t="e">
        <f>VLOOKUP($C1994,'Variable Information'!$A$1:$C$480,3,FALSE)</f>
        <v>#N/A</v>
      </c>
      <c r="C1994" s="35"/>
      <c r="D1994" s="30" t="s">
        <v>1458</v>
      </c>
      <c r="E1994" s="15" t="s">
        <v>1669</v>
      </c>
    </row>
    <row r="1995" spans="1:5" x14ac:dyDescent="0.25">
      <c r="A1995" s="36" t="e">
        <f>VLOOKUP($C1995,'Variable Information'!$A$2:$E$480,5,FALSE)</f>
        <v>#N/A</v>
      </c>
      <c r="B1995" s="36" t="e">
        <f>VLOOKUP($C1995,'Variable Information'!$A$1:$C$480,3,FALSE)</f>
        <v>#N/A</v>
      </c>
      <c r="C1995" s="35"/>
      <c r="D1995" s="30" t="s">
        <v>1460</v>
      </c>
      <c r="E1995" s="15" t="s">
        <v>1678</v>
      </c>
    </row>
    <row r="1996" spans="1:5" x14ac:dyDescent="0.25">
      <c r="A1996" s="36" t="str">
        <f>VLOOKUP($C1996,'Variable Information'!$A$2:$E$480,5,FALSE)</f>
        <v>AJR_drm_8_h</v>
      </c>
      <c r="B1996" s="36" t="str">
        <f>VLOOKUP($C1996,'Variable Information'!$A$1:$C$480,3,FALSE)</f>
        <v>Q29_1_iter08_h. Agree or Disagree - A community leader, or other person of standing - &lt;&gt; was helpful</v>
      </c>
      <c r="C1996" s="35" t="s">
        <v>1100</v>
      </c>
      <c r="D1996" s="30" t="s">
        <v>1447</v>
      </c>
      <c r="E1996" s="15" t="s">
        <v>1674</v>
      </c>
    </row>
    <row r="1997" spans="1:5" x14ac:dyDescent="0.25">
      <c r="A1997" s="36" t="e">
        <f>VLOOKUP($C1997,'Variable Information'!$A$2:$E$480,5,FALSE)</f>
        <v>#N/A</v>
      </c>
      <c r="B1997" s="36" t="e">
        <f>VLOOKUP($C1997,'Variable Information'!$A$1:$C$480,3,FALSE)</f>
        <v>#N/A</v>
      </c>
      <c r="C1997" s="35"/>
      <c r="D1997" s="30" t="s">
        <v>1449</v>
      </c>
      <c r="E1997" s="15" t="s">
        <v>1675</v>
      </c>
    </row>
    <row r="1998" spans="1:5" x14ac:dyDescent="0.25">
      <c r="A1998" s="36" t="e">
        <f>VLOOKUP($C1998,'Variable Information'!$A$2:$E$480,5,FALSE)</f>
        <v>#N/A</v>
      </c>
      <c r="B1998" s="36" t="e">
        <f>VLOOKUP($C1998,'Variable Information'!$A$1:$C$480,3,FALSE)</f>
        <v>#N/A</v>
      </c>
      <c r="C1998" s="35"/>
      <c r="D1998" s="30" t="s">
        <v>1451</v>
      </c>
      <c r="E1998" s="15" t="s">
        <v>1676</v>
      </c>
    </row>
    <row r="1999" spans="1:5" x14ac:dyDescent="0.25">
      <c r="A1999" s="36" t="e">
        <f>VLOOKUP($C1999,'Variable Information'!$A$2:$E$480,5,FALSE)</f>
        <v>#N/A</v>
      </c>
      <c r="B1999" s="36" t="e">
        <f>VLOOKUP($C1999,'Variable Information'!$A$1:$C$480,3,FALSE)</f>
        <v>#N/A</v>
      </c>
      <c r="C1999" s="35"/>
      <c r="D1999" s="30" t="s">
        <v>1456</v>
      </c>
      <c r="E1999" s="15" t="s">
        <v>1677</v>
      </c>
    </row>
    <row r="2000" spans="1:5" x14ac:dyDescent="0.25">
      <c r="A2000" s="36" t="e">
        <f>VLOOKUP($C2000,'Variable Information'!$A$2:$E$480,5,FALSE)</f>
        <v>#N/A</v>
      </c>
      <c r="B2000" s="36" t="e">
        <f>VLOOKUP($C2000,'Variable Information'!$A$1:$C$480,3,FALSE)</f>
        <v>#N/A</v>
      </c>
      <c r="C2000" s="35"/>
      <c r="D2000" s="30" t="s">
        <v>1458</v>
      </c>
      <c r="E2000" s="15" t="s">
        <v>1669</v>
      </c>
    </row>
    <row r="2001" spans="1:5" x14ac:dyDescent="0.25">
      <c r="A2001" s="36" t="e">
        <f>VLOOKUP($C2001,'Variable Information'!$A$2:$E$480,5,FALSE)</f>
        <v>#N/A</v>
      </c>
      <c r="B2001" s="36" t="e">
        <f>VLOOKUP($C2001,'Variable Information'!$A$1:$C$480,3,FALSE)</f>
        <v>#N/A</v>
      </c>
      <c r="C2001" s="35"/>
      <c r="D2001" s="30" t="s">
        <v>1460</v>
      </c>
      <c r="E2001" s="15" t="s">
        <v>1678</v>
      </c>
    </row>
    <row r="2002" spans="1:5" x14ac:dyDescent="0.25">
      <c r="A2002" s="36" t="str">
        <f>VLOOKUP($C2002,'Variable Information'!$A$2:$E$480,5,FALSE)</f>
        <v>AJR_drm_8_i</v>
      </c>
      <c r="B2002" s="36" t="str">
        <f>VLOOKUP($C2002,'Variable Information'!$A$1:$C$480,3,FALSE)</f>
        <v>Q29_1_iter08_i. Agree or Disagree - A community leader, or other person of standing - &lt;&gt; took my concerns and experiences seriously</v>
      </c>
      <c r="C2002" s="35" t="s">
        <v>1103</v>
      </c>
      <c r="D2002" s="30" t="s">
        <v>1447</v>
      </c>
      <c r="E2002" s="15" t="s">
        <v>1674</v>
      </c>
    </row>
    <row r="2003" spans="1:5" x14ac:dyDescent="0.25">
      <c r="A2003" s="36" t="e">
        <f>VLOOKUP($C2003,'Variable Information'!$A$2:$E$480,5,FALSE)</f>
        <v>#N/A</v>
      </c>
      <c r="B2003" s="36" t="e">
        <f>VLOOKUP($C2003,'Variable Information'!$A$1:$C$480,3,FALSE)</f>
        <v>#N/A</v>
      </c>
      <c r="C2003" s="35"/>
      <c r="D2003" s="30" t="s">
        <v>1449</v>
      </c>
      <c r="E2003" s="15" t="s">
        <v>1675</v>
      </c>
    </row>
    <row r="2004" spans="1:5" x14ac:dyDescent="0.25">
      <c r="A2004" s="36" t="e">
        <f>VLOOKUP($C2004,'Variable Information'!$A$2:$E$480,5,FALSE)</f>
        <v>#N/A</v>
      </c>
      <c r="B2004" s="36" t="e">
        <f>VLOOKUP($C2004,'Variable Information'!$A$1:$C$480,3,FALSE)</f>
        <v>#N/A</v>
      </c>
      <c r="C2004" s="35"/>
      <c r="D2004" s="30" t="s">
        <v>1451</v>
      </c>
      <c r="E2004" s="15" t="s">
        <v>1676</v>
      </c>
    </row>
    <row r="2005" spans="1:5" x14ac:dyDescent="0.25">
      <c r="A2005" s="36" t="e">
        <f>VLOOKUP($C2005,'Variable Information'!$A$2:$E$480,5,FALSE)</f>
        <v>#N/A</v>
      </c>
      <c r="B2005" s="36" t="e">
        <f>VLOOKUP($C2005,'Variable Information'!$A$1:$C$480,3,FALSE)</f>
        <v>#N/A</v>
      </c>
      <c r="C2005" s="35"/>
      <c r="D2005" s="30" t="s">
        <v>1456</v>
      </c>
      <c r="E2005" s="15" t="s">
        <v>1677</v>
      </c>
    </row>
    <row r="2006" spans="1:5" x14ac:dyDescent="0.25">
      <c r="A2006" s="36" t="e">
        <f>VLOOKUP($C2006,'Variable Information'!$A$2:$E$480,5,FALSE)</f>
        <v>#N/A</v>
      </c>
      <c r="B2006" s="36" t="e">
        <f>VLOOKUP($C2006,'Variable Information'!$A$1:$C$480,3,FALSE)</f>
        <v>#N/A</v>
      </c>
      <c r="C2006" s="35"/>
      <c r="D2006" s="30" t="s">
        <v>1458</v>
      </c>
      <c r="E2006" s="15" t="s">
        <v>1669</v>
      </c>
    </row>
    <row r="2007" spans="1:5" x14ac:dyDescent="0.25">
      <c r="A2007" s="36" t="e">
        <f>VLOOKUP($C2007,'Variable Information'!$A$2:$E$480,5,FALSE)</f>
        <v>#N/A</v>
      </c>
      <c r="B2007" s="36" t="e">
        <f>VLOOKUP($C2007,'Variable Information'!$A$1:$C$480,3,FALSE)</f>
        <v>#N/A</v>
      </c>
      <c r="C2007" s="35"/>
      <c r="D2007" s="30" t="s">
        <v>1460</v>
      </c>
      <c r="E2007" s="15" t="s">
        <v>1678</v>
      </c>
    </row>
    <row r="2008" spans="1:5" x14ac:dyDescent="0.25">
      <c r="A2008" s="36" t="str">
        <f>VLOOKUP($C2008,'Variable Information'!$A$2:$E$480,5,FALSE)</f>
        <v>AJR_drm_9_a</v>
      </c>
      <c r="B2008" s="36" t="str">
        <f>VLOOKUP($C2008,'Variable Information'!$A$1:$C$480,3,FALSE)</f>
        <v>Q29_1_iter09_a. Agree or Disagree - Other dispute resolution service - Both parties had the same opportunity to explain their position</v>
      </c>
      <c r="C2008" s="35" t="s">
        <v>1106</v>
      </c>
      <c r="D2008" s="30" t="s">
        <v>1447</v>
      </c>
      <c r="E2008" s="15" t="s">
        <v>1674</v>
      </c>
    </row>
    <row r="2009" spans="1:5" x14ac:dyDescent="0.25">
      <c r="A2009" s="36" t="e">
        <f>VLOOKUP($C2009,'Variable Information'!$A$2:$E$480,5,FALSE)</f>
        <v>#N/A</v>
      </c>
      <c r="B2009" s="36" t="e">
        <f>VLOOKUP($C2009,'Variable Information'!$A$1:$C$480,3,FALSE)</f>
        <v>#N/A</v>
      </c>
      <c r="C2009" s="35"/>
      <c r="D2009" s="30" t="s">
        <v>1449</v>
      </c>
      <c r="E2009" s="15" t="s">
        <v>1675</v>
      </c>
    </row>
    <row r="2010" spans="1:5" x14ac:dyDescent="0.25">
      <c r="A2010" s="36" t="e">
        <f>VLOOKUP($C2010,'Variable Information'!$A$2:$E$480,5,FALSE)</f>
        <v>#N/A</v>
      </c>
      <c r="B2010" s="36" t="e">
        <f>VLOOKUP($C2010,'Variable Information'!$A$1:$C$480,3,FALSE)</f>
        <v>#N/A</v>
      </c>
      <c r="C2010" s="35"/>
      <c r="D2010" s="30" t="s">
        <v>1451</v>
      </c>
      <c r="E2010" s="15" t="s">
        <v>1676</v>
      </c>
    </row>
    <row r="2011" spans="1:5" x14ac:dyDescent="0.25">
      <c r="A2011" s="36" t="e">
        <f>VLOOKUP($C2011,'Variable Information'!$A$2:$E$480,5,FALSE)</f>
        <v>#N/A</v>
      </c>
      <c r="B2011" s="36" t="e">
        <f>VLOOKUP($C2011,'Variable Information'!$A$1:$C$480,3,FALSE)</f>
        <v>#N/A</v>
      </c>
      <c r="C2011" s="35"/>
      <c r="D2011" s="30" t="s">
        <v>1456</v>
      </c>
      <c r="E2011" s="15" t="s">
        <v>1677</v>
      </c>
    </row>
    <row r="2012" spans="1:5" x14ac:dyDescent="0.25">
      <c r="A2012" s="36" t="e">
        <f>VLOOKUP($C2012,'Variable Information'!$A$2:$E$480,5,FALSE)</f>
        <v>#N/A</v>
      </c>
      <c r="B2012" s="36" t="e">
        <f>VLOOKUP($C2012,'Variable Information'!$A$1:$C$480,3,FALSE)</f>
        <v>#N/A</v>
      </c>
      <c r="C2012" s="35"/>
      <c r="D2012" s="30" t="s">
        <v>1458</v>
      </c>
      <c r="E2012" s="15" t="s">
        <v>1669</v>
      </c>
    </row>
    <row r="2013" spans="1:5" x14ac:dyDescent="0.25">
      <c r="A2013" s="36" t="e">
        <f>VLOOKUP($C2013,'Variable Information'!$A$2:$E$480,5,FALSE)</f>
        <v>#N/A</v>
      </c>
      <c r="B2013" s="36" t="e">
        <f>VLOOKUP($C2013,'Variable Information'!$A$1:$C$480,3,FALSE)</f>
        <v>#N/A</v>
      </c>
      <c r="C2013" s="35"/>
      <c r="D2013" s="30" t="s">
        <v>1460</v>
      </c>
      <c r="E2013" s="15" t="s">
        <v>1678</v>
      </c>
    </row>
    <row r="2014" spans="1:5" x14ac:dyDescent="0.25">
      <c r="A2014" s="36" t="str">
        <f>VLOOKUP($C2014,'Variable Information'!$A$2:$E$480,5,FALSE)</f>
        <v>AJR_drm_9_b</v>
      </c>
      <c r="B2014" s="36" t="str">
        <f>VLOOKUP($C2014,'Variable Information'!$A$1:$C$480,3,FALSE)</f>
        <v>Q29_1_iter09_b. Agree or Disagree - Other dispute resolution service - The justification for the decision/outcome was clearly explained to me</v>
      </c>
      <c r="C2014" s="35" t="s">
        <v>1109</v>
      </c>
      <c r="D2014" s="30" t="s">
        <v>1447</v>
      </c>
      <c r="E2014" s="15" t="s">
        <v>1674</v>
      </c>
    </row>
    <row r="2015" spans="1:5" x14ac:dyDescent="0.25">
      <c r="A2015" s="36" t="e">
        <f>VLOOKUP($C2015,'Variable Information'!$A$2:$E$480,5,FALSE)</f>
        <v>#N/A</v>
      </c>
      <c r="B2015" s="36" t="e">
        <f>VLOOKUP($C2015,'Variable Information'!$A$1:$C$480,3,FALSE)</f>
        <v>#N/A</v>
      </c>
      <c r="C2015" s="35"/>
      <c r="D2015" s="30" t="s">
        <v>1449</v>
      </c>
      <c r="E2015" s="15" t="s">
        <v>1675</v>
      </c>
    </row>
    <row r="2016" spans="1:5" x14ac:dyDescent="0.25">
      <c r="A2016" s="36" t="e">
        <f>VLOOKUP($C2016,'Variable Information'!$A$2:$E$480,5,FALSE)</f>
        <v>#N/A</v>
      </c>
      <c r="B2016" s="36" t="e">
        <f>VLOOKUP($C2016,'Variable Information'!$A$1:$C$480,3,FALSE)</f>
        <v>#N/A</v>
      </c>
      <c r="C2016" s="35"/>
      <c r="D2016" s="30" t="s">
        <v>1451</v>
      </c>
      <c r="E2016" s="15" t="s">
        <v>1676</v>
      </c>
    </row>
    <row r="2017" spans="1:5" x14ac:dyDescent="0.25">
      <c r="A2017" s="36" t="e">
        <f>VLOOKUP($C2017,'Variable Information'!$A$2:$E$480,5,FALSE)</f>
        <v>#N/A</v>
      </c>
      <c r="B2017" s="36" t="e">
        <f>VLOOKUP($C2017,'Variable Information'!$A$1:$C$480,3,FALSE)</f>
        <v>#N/A</v>
      </c>
      <c r="C2017" s="35"/>
      <c r="D2017" s="30" t="s">
        <v>1456</v>
      </c>
      <c r="E2017" s="15" t="s">
        <v>1677</v>
      </c>
    </row>
    <row r="2018" spans="1:5" x14ac:dyDescent="0.25">
      <c r="A2018" s="36" t="e">
        <f>VLOOKUP($C2018,'Variable Information'!$A$2:$E$480,5,FALSE)</f>
        <v>#N/A</v>
      </c>
      <c r="B2018" s="36" t="e">
        <f>VLOOKUP($C2018,'Variable Information'!$A$1:$C$480,3,FALSE)</f>
        <v>#N/A</v>
      </c>
      <c r="C2018" s="35"/>
      <c r="D2018" s="30" t="s">
        <v>1458</v>
      </c>
      <c r="E2018" s="15" t="s">
        <v>1669</v>
      </c>
    </row>
    <row r="2019" spans="1:5" x14ac:dyDescent="0.25">
      <c r="A2019" s="36" t="e">
        <f>VLOOKUP($C2019,'Variable Information'!$A$2:$E$480,5,FALSE)</f>
        <v>#N/A</v>
      </c>
      <c r="B2019" s="36" t="e">
        <f>VLOOKUP($C2019,'Variable Information'!$A$1:$C$480,3,FALSE)</f>
        <v>#N/A</v>
      </c>
      <c r="C2019" s="35"/>
      <c r="D2019" s="30" t="s">
        <v>1460</v>
      </c>
      <c r="E2019" s="15" t="s">
        <v>1678</v>
      </c>
    </row>
    <row r="2020" spans="1:5" x14ac:dyDescent="0.25">
      <c r="A2020" s="36" t="str">
        <f>VLOOKUP($C2020,'Variable Information'!$A$2:$E$480,5,FALSE)</f>
        <v>AJR_drm_9_c</v>
      </c>
      <c r="B2020" s="36" t="str">
        <f>VLOOKUP($C2020,'Variable Information'!$A$1:$C$480,3,FALSE)</f>
        <v>Q29_1_iter09_c. Agree or Disagree - Other dispute resolution service - The process was efficient</v>
      </c>
      <c r="C2020" s="35" t="s">
        <v>1112</v>
      </c>
      <c r="D2020" s="30" t="s">
        <v>1447</v>
      </c>
      <c r="E2020" s="15" t="s">
        <v>1674</v>
      </c>
    </row>
    <row r="2021" spans="1:5" x14ac:dyDescent="0.25">
      <c r="A2021" s="36" t="e">
        <f>VLOOKUP($C2021,'Variable Information'!$A$2:$E$480,5,FALSE)</f>
        <v>#N/A</v>
      </c>
      <c r="B2021" s="36" t="e">
        <f>VLOOKUP($C2021,'Variable Information'!$A$1:$C$480,3,FALSE)</f>
        <v>#N/A</v>
      </c>
      <c r="C2021" s="35"/>
      <c r="D2021" s="30" t="s">
        <v>1449</v>
      </c>
      <c r="E2021" s="15" t="s">
        <v>1675</v>
      </c>
    </row>
    <row r="2022" spans="1:5" x14ac:dyDescent="0.25">
      <c r="A2022" s="36" t="e">
        <f>VLOOKUP($C2022,'Variable Information'!$A$2:$E$480,5,FALSE)</f>
        <v>#N/A</v>
      </c>
      <c r="B2022" s="36" t="e">
        <f>VLOOKUP($C2022,'Variable Information'!$A$1:$C$480,3,FALSE)</f>
        <v>#N/A</v>
      </c>
      <c r="C2022" s="35"/>
      <c r="D2022" s="30" t="s">
        <v>1451</v>
      </c>
      <c r="E2022" s="15" t="s">
        <v>1676</v>
      </c>
    </row>
    <row r="2023" spans="1:5" x14ac:dyDescent="0.25">
      <c r="A2023" s="36" t="e">
        <f>VLOOKUP($C2023,'Variable Information'!$A$2:$E$480,5,FALSE)</f>
        <v>#N/A</v>
      </c>
      <c r="B2023" s="36" t="e">
        <f>VLOOKUP($C2023,'Variable Information'!$A$1:$C$480,3,FALSE)</f>
        <v>#N/A</v>
      </c>
      <c r="C2023" s="35"/>
      <c r="D2023" s="30" t="s">
        <v>1456</v>
      </c>
      <c r="E2023" s="15" t="s">
        <v>1677</v>
      </c>
    </row>
    <row r="2024" spans="1:5" x14ac:dyDescent="0.25">
      <c r="A2024" s="36" t="e">
        <f>VLOOKUP($C2024,'Variable Information'!$A$2:$E$480,5,FALSE)</f>
        <v>#N/A</v>
      </c>
      <c r="B2024" s="36" t="e">
        <f>VLOOKUP($C2024,'Variable Information'!$A$1:$C$480,3,FALSE)</f>
        <v>#N/A</v>
      </c>
      <c r="C2024" s="35"/>
      <c r="D2024" s="30" t="s">
        <v>1458</v>
      </c>
      <c r="E2024" s="15" t="s">
        <v>1669</v>
      </c>
    </row>
    <row r="2025" spans="1:5" x14ac:dyDescent="0.25">
      <c r="A2025" s="36" t="e">
        <f>VLOOKUP($C2025,'Variable Information'!$A$2:$E$480,5,FALSE)</f>
        <v>#N/A</v>
      </c>
      <c r="B2025" s="36" t="e">
        <f>VLOOKUP($C2025,'Variable Information'!$A$1:$C$480,3,FALSE)</f>
        <v>#N/A</v>
      </c>
      <c r="C2025" s="35"/>
      <c r="D2025" s="30" t="s">
        <v>1460</v>
      </c>
      <c r="E2025" s="15" t="s">
        <v>1678</v>
      </c>
    </row>
    <row r="2026" spans="1:5" x14ac:dyDescent="0.25">
      <c r="A2026" s="36" t="str">
        <f>VLOOKUP($C2026,'Variable Information'!$A$2:$E$480,5,FALSE)</f>
        <v>AJR_drm_9_d</v>
      </c>
      <c r="B2026" s="36" t="str">
        <f>VLOOKUP($C2026,'Variable Information'!$A$1:$C$480,3,FALSE)</f>
        <v>Q29_1_iter09_d. Agree or Disagree - Other dispute resolution service - The process was affordable</v>
      </c>
      <c r="C2026" s="35" t="s">
        <v>1115</v>
      </c>
      <c r="D2026" s="30" t="s">
        <v>1447</v>
      </c>
      <c r="E2026" s="15" t="s">
        <v>1674</v>
      </c>
    </row>
    <row r="2027" spans="1:5" x14ac:dyDescent="0.25">
      <c r="A2027" s="36" t="e">
        <f>VLOOKUP($C2027,'Variable Information'!$A$2:$E$480,5,FALSE)</f>
        <v>#N/A</v>
      </c>
      <c r="B2027" s="36" t="e">
        <f>VLOOKUP($C2027,'Variable Information'!$A$1:$C$480,3,FALSE)</f>
        <v>#N/A</v>
      </c>
      <c r="C2027" s="35"/>
      <c r="D2027" s="30" t="s">
        <v>1449</v>
      </c>
      <c r="E2027" s="15" t="s">
        <v>1675</v>
      </c>
    </row>
    <row r="2028" spans="1:5" x14ac:dyDescent="0.25">
      <c r="A2028" s="36" t="e">
        <f>VLOOKUP($C2028,'Variable Information'!$A$2:$E$480,5,FALSE)</f>
        <v>#N/A</v>
      </c>
      <c r="B2028" s="36" t="e">
        <f>VLOOKUP($C2028,'Variable Information'!$A$1:$C$480,3,FALSE)</f>
        <v>#N/A</v>
      </c>
      <c r="C2028" s="35"/>
      <c r="D2028" s="30" t="s">
        <v>1451</v>
      </c>
      <c r="E2028" s="15" t="s">
        <v>1676</v>
      </c>
    </row>
    <row r="2029" spans="1:5" x14ac:dyDescent="0.25">
      <c r="A2029" s="36" t="e">
        <f>VLOOKUP($C2029,'Variable Information'!$A$2:$E$480,5,FALSE)</f>
        <v>#N/A</v>
      </c>
      <c r="B2029" s="36" t="e">
        <f>VLOOKUP($C2029,'Variable Information'!$A$1:$C$480,3,FALSE)</f>
        <v>#N/A</v>
      </c>
      <c r="C2029" s="35"/>
      <c r="D2029" s="30" t="s">
        <v>1456</v>
      </c>
      <c r="E2029" s="15" t="s">
        <v>1677</v>
      </c>
    </row>
    <row r="2030" spans="1:5" x14ac:dyDescent="0.25">
      <c r="A2030" s="36" t="e">
        <f>VLOOKUP($C2030,'Variable Information'!$A$2:$E$480,5,FALSE)</f>
        <v>#N/A</v>
      </c>
      <c r="B2030" s="36" t="e">
        <f>VLOOKUP($C2030,'Variable Information'!$A$1:$C$480,3,FALSE)</f>
        <v>#N/A</v>
      </c>
      <c r="C2030" s="35"/>
      <c r="D2030" s="30" t="s">
        <v>1458</v>
      </c>
      <c r="E2030" s="15" t="s">
        <v>1669</v>
      </c>
    </row>
    <row r="2031" spans="1:5" x14ac:dyDescent="0.25">
      <c r="A2031" s="36" t="e">
        <f>VLOOKUP($C2031,'Variable Information'!$A$2:$E$480,5,FALSE)</f>
        <v>#N/A</v>
      </c>
      <c r="B2031" s="36" t="e">
        <f>VLOOKUP($C2031,'Variable Information'!$A$1:$C$480,3,FALSE)</f>
        <v>#N/A</v>
      </c>
      <c r="C2031" s="35"/>
      <c r="D2031" s="30" t="s">
        <v>1460</v>
      </c>
      <c r="E2031" s="15" t="s">
        <v>1678</v>
      </c>
    </row>
    <row r="2032" spans="1:5" x14ac:dyDescent="0.25">
      <c r="A2032" s="36" t="str">
        <f>VLOOKUP($C2032,'Variable Information'!$A$2:$E$480,5,FALSE)</f>
        <v>AJR_drm_9_e</v>
      </c>
      <c r="B2032" s="36" t="str">
        <f>VLOOKUP($C2032,'Variable Information'!$A$1:$C$480,3,FALSE)</f>
        <v>Q29_1_iter09_e. Agree or Disagree - Other dispute resolution service - The duration/length of the process was reasonable</v>
      </c>
      <c r="C2032" s="35" t="s">
        <v>1118</v>
      </c>
      <c r="D2032" s="30" t="s">
        <v>1447</v>
      </c>
      <c r="E2032" s="15" t="s">
        <v>1674</v>
      </c>
    </row>
    <row r="2033" spans="1:5" x14ac:dyDescent="0.25">
      <c r="A2033" s="36" t="e">
        <f>VLOOKUP($C2033,'Variable Information'!$A$2:$E$480,5,FALSE)</f>
        <v>#N/A</v>
      </c>
      <c r="B2033" s="36" t="e">
        <f>VLOOKUP($C2033,'Variable Information'!$A$1:$C$480,3,FALSE)</f>
        <v>#N/A</v>
      </c>
      <c r="C2033" s="35"/>
      <c r="D2033" s="30" t="s">
        <v>1449</v>
      </c>
      <c r="E2033" s="15" t="s">
        <v>1675</v>
      </c>
    </row>
    <row r="2034" spans="1:5" x14ac:dyDescent="0.25">
      <c r="A2034" s="36" t="e">
        <f>VLOOKUP($C2034,'Variable Information'!$A$2:$E$480,5,FALSE)</f>
        <v>#N/A</v>
      </c>
      <c r="B2034" s="36" t="e">
        <f>VLOOKUP($C2034,'Variable Information'!$A$1:$C$480,3,FALSE)</f>
        <v>#N/A</v>
      </c>
      <c r="C2034" s="35"/>
      <c r="D2034" s="30" t="s">
        <v>1451</v>
      </c>
      <c r="E2034" s="15" t="s">
        <v>1676</v>
      </c>
    </row>
    <row r="2035" spans="1:5" x14ac:dyDescent="0.25">
      <c r="A2035" s="36" t="e">
        <f>VLOOKUP($C2035,'Variable Information'!$A$2:$E$480,5,FALSE)</f>
        <v>#N/A</v>
      </c>
      <c r="B2035" s="36" t="e">
        <f>VLOOKUP($C2035,'Variable Information'!$A$1:$C$480,3,FALSE)</f>
        <v>#N/A</v>
      </c>
      <c r="C2035" s="35"/>
      <c r="D2035" s="30" t="s">
        <v>1456</v>
      </c>
      <c r="E2035" s="15" t="s">
        <v>1677</v>
      </c>
    </row>
    <row r="2036" spans="1:5" x14ac:dyDescent="0.25">
      <c r="A2036" s="36" t="e">
        <f>VLOOKUP($C2036,'Variable Information'!$A$2:$E$480,5,FALSE)</f>
        <v>#N/A</v>
      </c>
      <c r="B2036" s="36" t="e">
        <f>VLOOKUP($C2036,'Variable Information'!$A$1:$C$480,3,FALSE)</f>
        <v>#N/A</v>
      </c>
      <c r="C2036" s="35"/>
      <c r="D2036" s="30" t="s">
        <v>1458</v>
      </c>
      <c r="E2036" s="15" t="s">
        <v>1669</v>
      </c>
    </row>
    <row r="2037" spans="1:5" x14ac:dyDescent="0.25">
      <c r="A2037" s="36" t="e">
        <f>VLOOKUP($C2037,'Variable Information'!$A$2:$E$480,5,FALSE)</f>
        <v>#N/A</v>
      </c>
      <c r="B2037" s="36" t="e">
        <f>VLOOKUP($C2037,'Variable Information'!$A$1:$C$480,3,FALSE)</f>
        <v>#N/A</v>
      </c>
      <c r="C2037" s="35"/>
      <c r="D2037" s="30" t="s">
        <v>1460</v>
      </c>
      <c r="E2037" s="15" t="s">
        <v>1678</v>
      </c>
    </row>
    <row r="2038" spans="1:5" x14ac:dyDescent="0.25">
      <c r="A2038" s="36" t="str">
        <f>VLOOKUP($C2038,'Variable Information'!$A$2:$E$480,5,FALSE)</f>
        <v>AJR_drm_9_f</v>
      </c>
      <c r="B2038" s="36" t="str">
        <f>VLOOKUP($C2038,'Variable Information'!$A$1:$C$480,3,FALSE)</f>
        <v>Q29_1_iter09_f. Agree or Disagree - Other dispute resolution service - The process was fair</v>
      </c>
      <c r="C2038" s="35" t="s">
        <v>1121</v>
      </c>
      <c r="D2038" s="30" t="s">
        <v>1447</v>
      </c>
      <c r="E2038" s="15" t="s">
        <v>1674</v>
      </c>
    </row>
    <row r="2039" spans="1:5" x14ac:dyDescent="0.25">
      <c r="A2039" s="36" t="e">
        <f>VLOOKUP($C2039,'Variable Information'!$A$2:$E$480,5,FALSE)</f>
        <v>#N/A</v>
      </c>
      <c r="B2039" s="36" t="e">
        <f>VLOOKUP($C2039,'Variable Information'!$A$1:$C$480,3,FALSE)</f>
        <v>#N/A</v>
      </c>
      <c r="C2039" s="35"/>
      <c r="D2039" s="30" t="s">
        <v>1449</v>
      </c>
      <c r="E2039" s="15" t="s">
        <v>1675</v>
      </c>
    </row>
    <row r="2040" spans="1:5" x14ac:dyDescent="0.25">
      <c r="A2040" s="36" t="e">
        <f>VLOOKUP($C2040,'Variable Information'!$A$2:$E$480,5,FALSE)</f>
        <v>#N/A</v>
      </c>
      <c r="B2040" s="36" t="e">
        <f>VLOOKUP($C2040,'Variable Information'!$A$1:$C$480,3,FALSE)</f>
        <v>#N/A</v>
      </c>
      <c r="C2040" s="35"/>
      <c r="D2040" s="30" t="s">
        <v>1451</v>
      </c>
      <c r="E2040" s="15" t="s">
        <v>1676</v>
      </c>
    </row>
    <row r="2041" spans="1:5" x14ac:dyDescent="0.25">
      <c r="A2041" s="36" t="e">
        <f>VLOOKUP($C2041,'Variable Information'!$A$2:$E$480,5,FALSE)</f>
        <v>#N/A</v>
      </c>
      <c r="B2041" s="36" t="e">
        <f>VLOOKUP($C2041,'Variable Information'!$A$1:$C$480,3,FALSE)</f>
        <v>#N/A</v>
      </c>
      <c r="C2041" s="35"/>
      <c r="D2041" s="30" t="s">
        <v>1456</v>
      </c>
      <c r="E2041" s="15" t="s">
        <v>1677</v>
      </c>
    </row>
    <row r="2042" spans="1:5" x14ac:dyDescent="0.25">
      <c r="A2042" s="36" t="e">
        <f>VLOOKUP($C2042,'Variable Information'!$A$2:$E$480,5,FALSE)</f>
        <v>#N/A</v>
      </c>
      <c r="B2042" s="36" t="e">
        <f>VLOOKUP($C2042,'Variable Information'!$A$1:$C$480,3,FALSE)</f>
        <v>#N/A</v>
      </c>
      <c r="C2042" s="35"/>
      <c r="D2042" s="30" t="s">
        <v>1458</v>
      </c>
      <c r="E2042" s="15" t="s">
        <v>1669</v>
      </c>
    </row>
    <row r="2043" spans="1:5" x14ac:dyDescent="0.25">
      <c r="A2043" s="36" t="e">
        <f>VLOOKUP($C2043,'Variable Information'!$A$2:$E$480,5,FALSE)</f>
        <v>#N/A</v>
      </c>
      <c r="B2043" s="36" t="e">
        <f>VLOOKUP($C2043,'Variable Information'!$A$1:$C$480,3,FALSE)</f>
        <v>#N/A</v>
      </c>
      <c r="C2043" s="35"/>
      <c r="D2043" s="30" t="s">
        <v>1460</v>
      </c>
      <c r="E2043" s="15" t="s">
        <v>1678</v>
      </c>
    </row>
    <row r="2044" spans="1:5" x14ac:dyDescent="0.25">
      <c r="A2044" s="36" t="str">
        <f>VLOOKUP($C2044,'Variable Information'!$A$2:$E$480,5,FALSE)</f>
        <v>AJR_drm_9_g</v>
      </c>
      <c r="B2044" s="36" t="str">
        <f>VLOOKUP($C2044,'Variable Information'!$A$1:$C$480,3,FALSE)</f>
        <v>Q29_1_iter09_g. Agree or Disagree - Other dispute resolution service - The outcome was fair</v>
      </c>
      <c r="C2044" s="35" t="s">
        <v>1124</v>
      </c>
      <c r="D2044" s="30" t="s">
        <v>1447</v>
      </c>
      <c r="E2044" s="15" t="s">
        <v>1674</v>
      </c>
    </row>
    <row r="2045" spans="1:5" x14ac:dyDescent="0.25">
      <c r="A2045" s="36" t="e">
        <f>VLOOKUP($C2045,'Variable Information'!$A$2:$E$480,5,FALSE)</f>
        <v>#N/A</v>
      </c>
      <c r="B2045" s="36" t="e">
        <f>VLOOKUP($C2045,'Variable Information'!$A$1:$C$480,3,FALSE)</f>
        <v>#N/A</v>
      </c>
      <c r="C2045" s="35"/>
      <c r="D2045" s="30" t="s">
        <v>1449</v>
      </c>
      <c r="E2045" s="15" t="s">
        <v>1675</v>
      </c>
    </row>
    <row r="2046" spans="1:5" x14ac:dyDescent="0.25">
      <c r="A2046" s="36" t="e">
        <f>VLOOKUP($C2046,'Variable Information'!$A$2:$E$480,5,FALSE)</f>
        <v>#N/A</v>
      </c>
      <c r="B2046" s="36" t="e">
        <f>VLOOKUP($C2046,'Variable Information'!$A$1:$C$480,3,FALSE)</f>
        <v>#N/A</v>
      </c>
      <c r="C2046" s="35"/>
      <c r="D2046" s="30" t="s">
        <v>1451</v>
      </c>
      <c r="E2046" s="15" t="s">
        <v>1676</v>
      </c>
    </row>
    <row r="2047" spans="1:5" x14ac:dyDescent="0.25">
      <c r="A2047" s="36" t="e">
        <f>VLOOKUP($C2047,'Variable Information'!$A$2:$E$480,5,FALSE)</f>
        <v>#N/A</v>
      </c>
      <c r="B2047" s="36" t="e">
        <f>VLOOKUP($C2047,'Variable Information'!$A$1:$C$480,3,FALSE)</f>
        <v>#N/A</v>
      </c>
      <c r="C2047" s="35"/>
      <c r="D2047" s="30" t="s">
        <v>1456</v>
      </c>
      <c r="E2047" s="15" t="s">
        <v>1677</v>
      </c>
    </row>
    <row r="2048" spans="1:5" x14ac:dyDescent="0.25">
      <c r="A2048" s="36" t="e">
        <f>VLOOKUP($C2048,'Variable Information'!$A$2:$E$480,5,FALSE)</f>
        <v>#N/A</v>
      </c>
      <c r="B2048" s="36" t="e">
        <f>VLOOKUP($C2048,'Variable Information'!$A$1:$C$480,3,FALSE)</f>
        <v>#N/A</v>
      </c>
      <c r="C2048" s="35"/>
      <c r="D2048" s="30" t="s">
        <v>1458</v>
      </c>
      <c r="E2048" s="15" t="s">
        <v>1669</v>
      </c>
    </row>
    <row r="2049" spans="1:5" x14ac:dyDescent="0.25">
      <c r="A2049" s="36" t="e">
        <f>VLOOKUP($C2049,'Variable Information'!$A$2:$E$480,5,FALSE)</f>
        <v>#N/A</v>
      </c>
      <c r="B2049" s="36" t="e">
        <f>VLOOKUP($C2049,'Variable Information'!$A$1:$C$480,3,FALSE)</f>
        <v>#N/A</v>
      </c>
      <c r="C2049" s="35"/>
      <c r="D2049" s="30" t="s">
        <v>1460</v>
      </c>
      <c r="E2049" s="15" t="s">
        <v>1678</v>
      </c>
    </row>
    <row r="2050" spans="1:5" x14ac:dyDescent="0.25">
      <c r="A2050" s="36" t="str">
        <f>VLOOKUP($C2050,'Variable Information'!$A$2:$E$480,5,FALSE)</f>
        <v>AJR_drm_9_h</v>
      </c>
      <c r="B2050" s="36" t="str">
        <f>VLOOKUP($C2050,'Variable Information'!$A$1:$C$480,3,FALSE)</f>
        <v>Q29_1_iter09_h. Agree or Disagree - Other dispute resolution service - &lt;&gt; was helpful</v>
      </c>
      <c r="C2050" s="35" t="s">
        <v>1127</v>
      </c>
      <c r="D2050" s="30" t="s">
        <v>1447</v>
      </c>
      <c r="E2050" s="15" t="s">
        <v>1674</v>
      </c>
    </row>
    <row r="2051" spans="1:5" x14ac:dyDescent="0.25">
      <c r="A2051" s="36" t="e">
        <f>VLOOKUP($C2051,'Variable Information'!$A$2:$E$480,5,FALSE)</f>
        <v>#N/A</v>
      </c>
      <c r="B2051" s="36" t="e">
        <f>VLOOKUP($C2051,'Variable Information'!$A$1:$C$480,3,FALSE)</f>
        <v>#N/A</v>
      </c>
      <c r="C2051" s="35"/>
      <c r="D2051" s="30" t="s">
        <v>1449</v>
      </c>
      <c r="E2051" s="15" t="s">
        <v>1675</v>
      </c>
    </row>
    <row r="2052" spans="1:5" x14ac:dyDescent="0.25">
      <c r="A2052" s="36" t="e">
        <f>VLOOKUP($C2052,'Variable Information'!$A$2:$E$480,5,FALSE)</f>
        <v>#N/A</v>
      </c>
      <c r="B2052" s="36" t="e">
        <f>VLOOKUP($C2052,'Variable Information'!$A$1:$C$480,3,FALSE)</f>
        <v>#N/A</v>
      </c>
      <c r="C2052" s="35"/>
      <c r="D2052" s="30" t="s">
        <v>1451</v>
      </c>
      <c r="E2052" s="15" t="s">
        <v>1676</v>
      </c>
    </row>
    <row r="2053" spans="1:5" x14ac:dyDescent="0.25">
      <c r="A2053" s="36" t="e">
        <f>VLOOKUP($C2053,'Variable Information'!$A$2:$E$480,5,FALSE)</f>
        <v>#N/A</v>
      </c>
      <c r="B2053" s="36" t="e">
        <f>VLOOKUP($C2053,'Variable Information'!$A$1:$C$480,3,FALSE)</f>
        <v>#N/A</v>
      </c>
      <c r="C2053" s="35"/>
      <c r="D2053" s="30" t="s">
        <v>1456</v>
      </c>
      <c r="E2053" s="15" t="s">
        <v>1677</v>
      </c>
    </row>
    <row r="2054" spans="1:5" x14ac:dyDescent="0.25">
      <c r="A2054" s="36" t="e">
        <f>VLOOKUP($C2054,'Variable Information'!$A$2:$E$480,5,FALSE)</f>
        <v>#N/A</v>
      </c>
      <c r="B2054" s="36" t="e">
        <f>VLOOKUP($C2054,'Variable Information'!$A$1:$C$480,3,FALSE)</f>
        <v>#N/A</v>
      </c>
      <c r="C2054" s="35"/>
      <c r="D2054" s="30" t="s">
        <v>1458</v>
      </c>
      <c r="E2054" s="15" t="s">
        <v>1669</v>
      </c>
    </row>
    <row r="2055" spans="1:5" x14ac:dyDescent="0.25">
      <c r="A2055" s="36" t="e">
        <f>VLOOKUP($C2055,'Variable Information'!$A$2:$E$480,5,FALSE)</f>
        <v>#N/A</v>
      </c>
      <c r="B2055" s="36" t="e">
        <f>VLOOKUP($C2055,'Variable Information'!$A$1:$C$480,3,FALSE)</f>
        <v>#N/A</v>
      </c>
      <c r="C2055" s="35"/>
      <c r="D2055" s="30" t="s">
        <v>1460</v>
      </c>
      <c r="E2055" s="15" t="s">
        <v>1678</v>
      </c>
    </row>
    <row r="2056" spans="1:5" x14ac:dyDescent="0.25">
      <c r="A2056" s="36" t="str">
        <f>VLOOKUP($C2056,'Variable Information'!$A$2:$E$480,5,FALSE)</f>
        <v>AJR_drm_9_i</v>
      </c>
      <c r="B2056" s="36" t="str">
        <f>VLOOKUP($C2056,'Variable Information'!$A$1:$C$480,3,FALSE)</f>
        <v>Q29_1_iter09_i. Agree or Disagree - Other dispute resolution service - &lt;&gt; took my concerns and experiences seriously</v>
      </c>
      <c r="C2056" s="35" t="s">
        <v>1130</v>
      </c>
      <c r="D2056" s="30" t="s">
        <v>1447</v>
      </c>
      <c r="E2056" s="15" t="s">
        <v>1674</v>
      </c>
    </row>
    <row r="2057" spans="1:5" x14ac:dyDescent="0.25">
      <c r="A2057" s="36" t="e">
        <f>VLOOKUP($C2057,'Variable Information'!$A$2:$E$480,5,FALSE)</f>
        <v>#N/A</v>
      </c>
      <c r="B2057" s="36" t="e">
        <f>VLOOKUP($C2057,'Variable Information'!$A$1:$C$480,3,FALSE)</f>
        <v>#N/A</v>
      </c>
      <c r="C2057" s="35"/>
      <c r="D2057" s="30" t="s">
        <v>1449</v>
      </c>
      <c r="E2057" s="15" t="s">
        <v>1675</v>
      </c>
    </row>
    <row r="2058" spans="1:5" x14ac:dyDescent="0.25">
      <c r="A2058" s="36" t="e">
        <f>VLOOKUP($C2058,'Variable Information'!$A$2:$E$480,5,FALSE)</f>
        <v>#N/A</v>
      </c>
      <c r="B2058" s="36" t="e">
        <f>VLOOKUP($C2058,'Variable Information'!$A$1:$C$480,3,FALSE)</f>
        <v>#N/A</v>
      </c>
      <c r="C2058" s="35"/>
      <c r="D2058" s="30" t="s">
        <v>1451</v>
      </c>
      <c r="E2058" s="15" t="s">
        <v>1676</v>
      </c>
    </row>
    <row r="2059" spans="1:5" x14ac:dyDescent="0.25">
      <c r="A2059" s="36" t="e">
        <f>VLOOKUP($C2059,'Variable Information'!$A$2:$E$480,5,FALSE)</f>
        <v>#N/A</v>
      </c>
      <c r="B2059" s="36" t="e">
        <f>VLOOKUP($C2059,'Variable Information'!$A$1:$C$480,3,FALSE)</f>
        <v>#N/A</v>
      </c>
      <c r="C2059" s="35"/>
      <c r="D2059" s="30" t="s">
        <v>1456</v>
      </c>
      <c r="E2059" s="15" t="s">
        <v>1677</v>
      </c>
    </row>
    <row r="2060" spans="1:5" x14ac:dyDescent="0.25">
      <c r="A2060" s="36" t="e">
        <f>VLOOKUP($C2060,'Variable Information'!$A$2:$E$480,5,FALSE)</f>
        <v>#N/A</v>
      </c>
      <c r="B2060" s="36" t="e">
        <f>VLOOKUP($C2060,'Variable Information'!$A$1:$C$480,3,FALSE)</f>
        <v>#N/A</v>
      </c>
      <c r="C2060" s="35"/>
      <c r="D2060" s="30" t="s">
        <v>1458</v>
      </c>
      <c r="E2060" s="15" t="s">
        <v>1669</v>
      </c>
    </row>
    <row r="2061" spans="1:5" x14ac:dyDescent="0.25">
      <c r="A2061" s="36" t="e">
        <f>VLOOKUP($C2061,'Variable Information'!$A$2:$E$480,5,FALSE)</f>
        <v>#N/A</v>
      </c>
      <c r="B2061" s="36" t="e">
        <f>VLOOKUP($C2061,'Variable Information'!$A$1:$C$480,3,FALSE)</f>
        <v>#N/A</v>
      </c>
      <c r="C2061" s="35"/>
      <c r="D2061" s="30" t="s">
        <v>1460</v>
      </c>
      <c r="E2061" s="15" t="s">
        <v>1678</v>
      </c>
    </row>
    <row r="2062" spans="1:5" x14ac:dyDescent="0.25">
      <c r="A2062" s="36" t="str">
        <f>VLOOKUP($C2062,'Variable Information'!$A$2:$E$480,5,FALSE)</f>
        <v>AJR_drm_11_a</v>
      </c>
      <c r="B2062" s="36" t="str">
        <f>VLOOKUP($C2062,'Variable Information'!$A$1:$C$480,3,FALSE)</f>
        <v>Q29_1_iter11_a. Agree or Disagree - Other professional or organisation - Both parties had the same opportunity to explain their position</v>
      </c>
      <c r="C2062" s="35" t="s">
        <v>1133</v>
      </c>
      <c r="D2062" s="30" t="s">
        <v>1447</v>
      </c>
      <c r="E2062" s="15" t="s">
        <v>1674</v>
      </c>
    </row>
    <row r="2063" spans="1:5" x14ac:dyDescent="0.25">
      <c r="A2063" s="36" t="e">
        <f>VLOOKUP($C2063,'Variable Information'!$A$2:$E$480,5,FALSE)</f>
        <v>#N/A</v>
      </c>
      <c r="B2063" s="36" t="e">
        <f>VLOOKUP($C2063,'Variable Information'!$A$1:$C$480,3,FALSE)</f>
        <v>#N/A</v>
      </c>
      <c r="C2063" s="35"/>
      <c r="D2063" s="30" t="s">
        <v>1449</v>
      </c>
      <c r="E2063" s="15" t="s">
        <v>1675</v>
      </c>
    </row>
    <row r="2064" spans="1:5" x14ac:dyDescent="0.25">
      <c r="A2064" s="36" t="e">
        <f>VLOOKUP($C2064,'Variable Information'!$A$2:$E$480,5,FALSE)</f>
        <v>#N/A</v>
      </c>
      <c r="B2064" s="36" t="e">
        <f>VLOOKUP($C2064,'Variable Information'!$A$1:$C$480,3,FALSE)</f>
        <v>#N/A</v>
      </c>
      <c r="C2064" s="35"/>
      <c r="D2064" s="30" t="s">
        <v>1451</v>
      </c>
      <c r="E2064" s="15" t="s">
        <v>1676</v>
      </c>
    </row>
    <row r="2065" spans="1:5" x14ac:dyDescent="0.25">
      <c r="A2065" s="36" t="e">
        <f>VLOOKUP($C2065,'Variable Information'!$A$2:$E$480,5,FALSE)</f>
        <v>#N/A</v>
      </c>
      <c r="B2065" s="36" t="e">
        <f>VLOOKUP($C2065,'Variable Information'!$A$1:$C$480,3,FALSE)</f>
        <v>#N/A</v>
      </c>
      <c r="C2065" s="35"/>
      <c r="D2065" s="30" t="s">
        <v>1456</v>
      </c>
      <c r="E2065" s="15" t="s">
        <v>1677</v>
      </c>
    </row>
    <row r="2066" spans="1:5" x14ac:dyDescent="0.25">
      <c r="A2066" s="36" t="e">
        <f>VLOOKUP($C2066,'Variable Information'!$A$2:$E$480,5,FALSE)</f>
        <v>#N/A</v>
      </c>
      <c r="B2066" s="36" t="e">
        <f>VLOOKUP($C2066,'Variable Information'!$A$1:$C$480,3,FALSE)</f>
        <v>#N/A</v>
      </c>
      <c r="C2066" s="35"/>
      <c r="D2066" s="30" t="s">
        <v>1458</v>
      </c>
      <c r="E2066" s="15" t="s">
        <v>1669</v>
      </c>
    </row>
    <row r="2067" spans="1:5" x14ac:dyDescent="0.25">
      <c r="A2067" s="36" t="e">
        <f>VLOOKUP($C2067,'Variable Information'!$A$2:$E$480,5,FALSE)</f>
        <v>#N/A</v>
      </c>
      <c r="B2067" s="36" t="e">
        <f>VLOOKUP($C2067,'Variable Information'!$A$1:$C$480,3,FALSE)</f>
        <v>#N/A</v>
      </c>
      <c r="C2067" s="35"/>
      <c r="D2067" s="30" t="s">
        <v>1460</v>
      </c>
      <c r="E2067" s="15" t="s">
        <v>1678</v>
      </c>
    </row>
    <row r="2068" spans="1:5" x14ac:dyDescent="0.25">
      <c r="A2068" s="36" t="str">
        <f>VLOOKUP($C2068,'Variable Information'!$A$2:$E$480,5,FALSE)</f>
        <v>AJR_drm_11_b</v>
      </c>
      <c r="B2068" s="36" t="str">
        <f>VLOOKUP($C2068,'Variable Information'!$A$1:$C$480,3,FALSE)</f>
        <v>Q29_1_iter11_b. Agree or Disagree - Other professional or organisation - The justification for the decision/outcome was clearly explained to me</v>
      </c>
      <c r="C2068" s="35" t="s">
        <v>1136</v>
      </c>
      <c r="D2068" s="30" t="s">
        <v>1447</v>
      </c>
      <c r="E2068" s="15" t="s">
        <v>1674</v>
      </c>
    </row>
    <row r="2069" spans="1:5" x14ac:dyDescent="0.25">
      <c r="A2069" s="36" t="e">
        <f>VLOOKUP($C2069,'Variable Information'!$A$2:$E$480,5,FALSE)</f>
        <v>#N/A</v>
      </c>
      <c r="B2069" s="36" t="e">
        <f>VLOOKUP($C2069,'Variable Information'!$A$1:$C$480,3,FALSE)</f>
        <v>#N/A</v>
      </c>
      <c r="C2069" s="35"/>
      <c r="D2069" s="30" t="s">
        <v>1449</v>
      </c>
      <c r="E2069" s="15" t="s">
        <v>1675</v>
      </c>
    </row>
    <row r="2070" spans="1:5" x14ac:dyDescent="0.25">
      <c r="A2070" s="36" t="e">
        <f>VLOOKUP($C2070,'Variable Information'!$A$2:$E$480,5,FALSE)</f>
        <v>#N/A</v>
      </c>
      <c r="B2070" s="36" t="e">
        <f>VLOOKUP($C2070,'Variable Information'!$A$1:$C$480,3,FALSE)</f>
        <v>#N/A</v>
      </c>
      <c r="C2070" s="35"/>
      <c r="D2070" s="30" t="s">
        <v>1451</v>
      </c>
      <c r="E2070" s="15" t="s">
        <v>1676</v>
      </c>
    </row>
    <row r="2071" spans="1:5" x14ac:dyDescent="0.25">
      <c r="A2071" s="36" t="e">
        <f>VLOOKUP($C2071,'Variable Information'!$A$2:$E$480,5,FALSE)</f>
        <v>#N/A</v>
      </c>
      <c r="B2071" s="36" t="e">
        <f>VLOOKUP($C2071,'Variable Information'!$A$1:$C$480,3,FALSE)</f>
        <v>#N/A</v>
      </c>
      <c r="C2071" s="35"/>
      <c r="D2071" s="30" t="s">
        <v>1456</v>
      </c>
      <c r="E2071" s="15" t="s">
        <v>1677</v>
      </c>
    </row>
    <row r="2072" spans="1:5" x14ac:dyDescent="0.25">
      <c r="A2072" s="36" t="e">
        <f>VLOOKUP($C2072,'Variable Information'!$A$2:$E$480,5,FALSE)</f>
        <v>#N/A</v>
      </c>
      <c r="B2072" s="36" t="e">
        <f>VLOOKUP($C2072,'Variable Information'!$A$1:$C$480,3,FALSE)</f>
        <v>#N/A</v>
      </c>
      <c r="C2072" s="35"/>
      <c r="D2072" s="30" t="s">
        <v>1458</v>
      </c>
      <c r="E2072" s="15" t="s">
        <v>1669</v>
      </c>
    </row>
    <row r="2073" spans="1:5" x14ac:dyDescent="0.25">
      <c r="A2073" s="36" t="e">
        <f>VLOOKUP($C2073,'Variable Information'!$A$2:$E$480,5,FALSE)</f>
        <v>#N/A</v>
      </c>
      <c r="B2073" s="36" t="e">
        <f>VLOOKUP($C2073,'Variable Information'!$A$1:$C$480,3,FALSE)</f>
        <v>#N/A</v>
      </c>
      <c r="C2073" s="35"/>
      <c r="D2073" s="30" t="s">
        <v>1460</v>
      </c>
      <c r="E2073" s="15" t="s">
        <v>1678</v>
      </c>
    </row>
    <row r="2074" spans="1:5" x14ac:dyDescent="0.25">
      <c r="A2074" s="36" t="str">
        <f>VLOOKUP($C2074,'Variable Information'!$A$2:$E$480,5,FALSE)</f>
        <v>AJR_drm_11_c</v>
      </c>
      <c r="B2074" s="36" t="str">
        <f>VLOOKUP($C2074,'Variable Information'!$A$1:$C$480,3,FALSE)</f>
        <v>Q29_1_iter11_c. Agree or Disagree - Other professional or organisation - The process was efficient</v>
      </c>
      <c r="C2074" s="35" t="s">
        <v>1139</v>
      </c>
      <c r="D2074" s="30" t="s">
        <v>1447</v>
      </c>
      <c r="E2074" s="15" t="s">
        <v>1674</v>
      </c>
    </row>
    <row r="2075" spans="1:5" x14ac:dyDescent="0.25">
      <c r="A2075" s="36" t="e">
        <f>VLOOKUP($C2075,'Variable Information'!$A$2:$E$480,5,FALSE)</f>
        <v>#N/A</v>
      </c>
      <c r="B2075" s="36" t="e">
        <f>VLOOKUP($C2075,'Variable Information'!$A$1:$C$480,3,FALSE)</f>
        <v>#N/A</v>
      </c>
      <c r="C2075" s="35"/>
      <c r="D2075" s="30" t="s">
        <v>1449</v>
      </c>
      <c r="E2075" s="15" t="s">
        <v>1675</v>
      </c>
    </row>
    <row r="2076" spans="1:5" x14ac:dyDescent="0.25">
      <c r="A2076" s="36" t="e">
        <f>VLOOKUP($C2076,'Variable Information'!$A$2:$E$480,5,FALSE)</f>
        <v>#N/A</v>
      </c>
      <c r="B2076" s="36" t="e">
        <f>VLOOKUP($C2076,'Variable Information'!$A$1:$C$480,3,FALSE)</f>
        <v>#N/A</v>
      </c>
      <c r="C2076" s="35"/>
      <c r="D2076" s="30" t="s">
        <v>1451</v>
      </c>
      <c r="E2076" s="15" t="s">
        <v>1676</v>
      </c>
    </row>
    <row r="2077" spans="1:5" x14ac:dyDescent="0.25">
      <c r="A2077" s="36" t="e">
        <f>VLOOKUP($C2077,'Variable Information'!$A$2:$E$480,5,FALSE)</f>
        <v>#N/A</v>
      </c>
      <c r="B2077" s="36" t="e">
        <f>VLOOKUP($C2077,'Variable Information'!$A$1:$C$480,3,FALSE)</f>
        <v>#N/A</v>
      </c>
      <c r="C2077" s="35"/>
      <c r="D2077" s="30" t="s">
        <v>1456</v>
      </c>
      <c r="E2077" s="15" t="s">
        <v>1677</v>
      </c>
    </row>
    <row r="2078" spans="1:5" x14ac:dyDescent="0.25">
      <c r="A2078" s="36" t="e">
        <f>VLOOKUP($C2078,'Variable Information'!$A$2:$E$480,5,FALSE)</f>
        <v>#N/A</v>
      </c>
      <c r="B2078" s="36" t="e">
        <f>VLOOKUP($C2078,'Variable Information'!$A$1:$C$480,3,FALSE)</f>
        <v>#N/A</v>
      </c>
      <c r="C2078" s="35"/>
      <c r="D2078" s="30" t="s">
        <v>1458</v>
      </c>
      <c r="E2078" s="15" t="s">
        <v>1669</v>
      </c>
    </row>
    <row r="2079" spans="1:5" x14ac:dyDescent="0.25">
      <c r="A2079" s="36" t="e">
        <f>VLOOKUP($C2079,'Variable Information'!$A$2:$E$480,5,FALSE)</f>
        <v>#N/A</v>
      </c>
      <c r="B2079" s="36" t="e">
        <f>VLOOKUP($C2079,'Variable Information'!$A$1:$C$480,3,FALSE)</f>
        <v>#N/A</v>
      </c>
      <c r="C2079" s="35"/>
      <c r="D2079" s="30" t="s">
        <v>1460</v>
      </c>
      <c r="E2079" s="15" t="s">
        <v>1678</v>
      </c>
    </row>
    <row r="2080" spans="1:5" x14ac:dyDescent="0.25">
      <c r="A2080" s="36" t="str">
        <f>VLOOKUP($C2080,'Variable Information'!$A$2:$E$480,5,FALSE)</f>
        <v>AJR_drm_11_d</v>
      </c>
      <c r="B2080" s="36" t="str">
        <f>VLOOKUP($C2080,'Variable Information'!$A$1:$C$480,3,FALSE)</f>
        <v>Q29_1_iter11_d. Agree or Disagree - Other professional or organisation - The process was affordable</v>
      </c>
      <c r="C2080" s="35" t="s">
        <v>1142</v>
      </c>
      <c r="D2080" s="30" t="s">
        <v>1447</v>
      </c>
      <c r="E2080" s="15" t="s">
        <v>1674</v>
      </c>
    </row>
    <row r="2081" spans="1:5" x14ac:dyDescent="0.25">
      <c r="A2081" s="36" t="e">
        <f>VLOOKUP($C2081,'Variable Information'!$A$2:$E$480,5,FALSE)</f>
        <v>#N/A</v>
      </c>
      <c r="B2081" s="36" t="e">
        <f>VLOOKUP($C2081,'Variable Information'!$A$1:$C$480,3,FALSE)</f>
        <v>#N/A</v>
      </c>
      <c r="C2081" s="35"/>
      <c r="D2081" s="30" t="s">
        <v>1449</v>
      </c>
      <c r="E2081" s="15" t="s">
        <v>1675</v>
      </c>
    </row>
    <row r="2082" spans="1:5" x14ac:dyDescent="0.25">
      <c r="A2082" s="36" t="e">
        <f>VLOOKUP($C2082,'Variable Information'!$A$2:$E$480,5,FALSE)</f>
        <v>#N/A</v>
      </c>
      <c r="B2082" s="36" t="e">
        <f>VLOOKUP($C2082,'Variable Information'!$A$1:$C$480,3,FALSE)</f>
        <v>#N/A</v>
      </c>
      <c r="C2082" s="35"/>
      <c r="D2082" s="30" t="s">
        <v>1451</v>
      </c>
      <c r="E2082" s="15" t="s">
        <v>1676</v>
      </c>
    </row>
    <row r="2083" spans="1:5" x14ac:dyDescent="0.25">
      <c r="A2083" s="36" t="e">
        <f>VLOOKUP($C2083,'Variable Information'!$A$2:$E$480,5,FALSE)</f>
        <v>#N/A</v>
      </c>
      <c r="B2083" s="36" t="e">
        <f>VLOOKUP($C2083,'Variable Information'!$A$1:$C$480,3,FALSE)</f>
        <v>#N/A</v>
      </c>
      <c r="C2083" s="35"/>
      <c r="D2083" s="30" t="s">
        <v>1456</v>
      </c>
      <c r="E2083" s="15" t="s">
        <v>1677</v>
      </c>
    </row>
    <row r="2084" spans="1:5" x14ac:dyDescent="0.25">
      <c r="A2084" s="36" t="e">
        <f>VLOOKUP($C2084,'Variable Information'!$A$2:$E$480,5,FALSE)</f>
        <v>#N/A</v>
      </c>
      <c r="B2084" s="36" t="e">
        <f>VLOOKUP($C2084,'Variable Information'!$A$1:$C$480,3,FALSE)</f>
        <v>#N/A</v>
      </c>
      <c r="C2084" s="35"/>
      <c r="D2084" s="30" t="s">
        <v>1458</v>
      </c>
      <c r="E2084" s="15" t="s">
        <v>1669</v>
      </c>
    </row>
    <row r="2085" spans="1:5" x14ac:dyDescent="0.25">
      <c r="A2085" s="36" t="e">
        <f>VLOOKUP($C2085,'Variable Information'!$A$2:$E$480,5,FALSE)</f>
        <v>#N/A</v>
      </c>
      <c r="B2085" s="36" t="e">
        <f>VLOOKUP($C2085,'Variable Information'!$A$1:$C$480,3,FALSE)</f>
        <v>#N/A</v>
      </c>
      <c r="C2085" s="35"/>
      <c r="D2085" s="30" t="s">
        <v>1460</v>
      </c>
      <c r="E2085" s="15" t="s">
        <v>1678</v>
      </c>
    </row>
    <row r="2086" spans="1:5" x14ac:dyDescent="0.25">
      <c r="A2086" s="36" t="str">
        <f>VLOOKUP($C2086,'Variable Information'!$A$2:$E$480,5,FALSE)</f>
        <v>AJR_drm_11_e</v>
      </c>
      <c r="B2086" s="36" t="str">
        <f>VLOOKUP($C2086,'Variable Information'!$A$1:$C$480,3,FALSE)</f>
        <v>Q29_1_iter11_e. Agree or Disagree - Other professional or organisation - The duration/length of the process was reasonable</v>
      </c>
      <c r="C2086" s="35" t="s">
        <v>1145</v>
      </c>
      <c r="D2086" s="30" t="s">
        <v>1447</v>
      </c>
      <c r="E2086" s="15" t="s">
        <v>1674</v>
      </c>
    </row>
    <row r="2087" spans="1:5" x14ac:dyDescent="0.25">
      <c r="A2087" s="36" t="e">
        <f>VLOOKUP($C2087,'Variable Information'!$A$2:$E$480,5,FALSE)</f>
        <v>#N/A</v>
      </c>
      <c r="B2087" s="36" t="e">
        <f>VLOOKUP($C2087,'Variable Information'!$A$1:$C$480,3,FALSE)</f>
        <v>#N/A</v>
      </c>
      <c r="C2087" s="35"/>
      <c r="D2087" s="30" t="s">
        <v>1449</v>
      </c>
      <c r="E2087" s="15" t="s">
        <v>1675</v>
      </c>
    </row>
    <row r="2088" spans="1:5" x14ac:dyDescent="0.25">
      <c r="A2088" s="36" t="e">
        <f>VLOOKUP($C2088,'Variable Information'!$A$2:$E$480,5,FALSE)</f>
        <v>#N/A</v>
      </c>
      <c r="B2088" s="36" t="e">
        <f>VLOOKUP($C2088,'Variable Information'!$A$1:$C$480,3,FALSE)</f>
        <v>#N/A</v>
      </c>
      <c r="C2088" s="35"/>
      <c r="D2088" s="30" t="s">
        <v>1451</v>
      </c>
      <c r="E2088" s="15" t="s">
        <v>1676</v>
      </c>
    </row>
    <row r="2089" spans="1:5" x14ac:dyDescent="0.25">
      <c r="A2089" s="36" t="e">
        <f>VLOOKUP($C2089,'Variable Information'!$A$2:$E$480,5,FALSE)</f>
        <v>#N/A</v>
      </c>
      <c r="B2089" s="36" t="e">
        <f>VLOOKUP($C2089,'Variable Information'!$A$1:$C$480,3,FALSE)</f>
        <v>#N/A</v>
      </c>
      <c r="C2089" s="35"/>
      <c r="D2089" s="30" t="s">
        <v>1456</v>
      </c>
      <c r="E2089" s="15" t="s">
        <v>1677</v>
      </c>
    </row>
    <row r="2090" spans="1:5" x14ac:dyDescent="0.25">
      <c r="A2090" s="36" t="e">
        <f>VLOOKUP($C2090,'Variable Information'!$A$2:$E$480,5,FALSE)</f>
        <v>#N/A</v>
      </c>
      <c r="B2090" s="36" t="e">
        <f>VLOOKUP($C2090,'Variable Information'!$A$1:$C$480,3,FALSE)</f>
        <v>#N/A</v>
      </c>
      <c r="C2090" s="35"/>
      <c r="D2090" s="30" t="s">
        <v>1458</v>
      </c>
      <c r="E2090" s="15" t="s">
        <v>1669</v>
      </c>
    </row>
    <row r="2091" spans="1:5" x14ac:dyDescent="0.25">
      <c r="A2091" s="36" t="e">
        <f>VLOOKUP($C2091,'Variable Information'!$A$2:$E$480,5,FALSE)</f>
        <v>#N/A</v>
      </c>
      <c r="B2091" s="36" t="e">
        <f>VLOOKUP($C2091,'Variable Information'!$A$1:$C$480,3,FALSE)</f>
        <v>#N/A</v>
      </c>
      <c r="C2091" s="35"/>
      <c r="D2091" s="30" t="s">
        <v>1460</v>
      </c>
      <c r="E2091" s="15" t="s">
        <v>1678</v>
      </c>
    </row>
    <row r="2092" spans="1:5" x14ac:dyDescent="0.25">
      <c r="A2092" s="36" t="str">
        <f>VLOOKUP($C2092,'Variable Information'!$A$2:$E$480,5,FALSE)</f>
        <v>AJR_drm_11_f</v>
      </c>
      <c r="B2092" s="36" t="str">
        <f>VLOOKUP($C2092,'Variable Information'!$A$1:$C$480,3,FALSE)</f>
        <v>Q29_1_iter11_f. Agree or Disagree - Other professional or organisation - The process was fair</v>
      </c>
      <c r="C2092" s="35" t="s">
        <v>1148</v>
      </c>
      <c r="D2092" s="30" t="s">
        <v>1447</v>
      </c>
      <c r="E2092" s="15" t="s">
        <v>1674</v>
      </c>
    </row>
    <row r="2093" spans="1:5" x14ac:dyDescent="0.25">
      <c r="A2093" s="36" t="e">
        <f>VLOOKUP($C2093,'Variable Information'!$A$2:$E$480,5,FALSE)</f>
        <v>#N/A</v>
      </c>
      <c r="B2093" s="36" t="e">
        <f>VLOOKUP($C2093,'Variable Information'!$A$1:$C$480,3,FALSE)</f>
        <v>#N/A</v>
      </c>
      <c r="C2093" s="35"/>
      <c r="D2093" s="30" t="s">
        <v>1449</v>
      </c>
      <c r="E2093" s="15" t="s">
        <v>1675</v>
      </c>
    </row>
    <row r="2094" spans="1:5" x14ac:dyDescent="0.25">
      <c r="A2094" s="36" t="e">
        <f>VLOOKUP($C2094,'Variable Information'!$A$2:$E$480,5,FALSE)</f>
        <v>#N/A</v>
      </c>
      <c r="B2094" s="36" t="e">
        <f>VLOOKUP($C2094,'Variable Information'!$A$1:$C$480,3,FALSE)</f>
        <v>#N/A</v>
      </c>
      <c r="C2094" s="35"/>
      <c r="D2094" s="30" t="s">
        <v>1451</v>
      </c>
      <c r="E2094" s="15" t="s">
        <v>1676</v>
      </c>
    </row>
    <row r="2095" spans="1:5" x14ac:dyDescent="0.25">
      <c r="A2095" s="36" t="e">
        <f>VLOOKUP($C2095,'Variable Information'!$A$2:$E$480,5,FALSE)</f>
        <v>#N/A</v>
      </c>
      <c r="B2095" s="36" t="e">
        <f>VLOOKUP($C2095,'Variable Information'!$A$1:$C$480,3,FALSE)</f>
        <v>#N/A</v>
      </c>
      <c r="C2095" s="35"/>
      <c r="D2095" s="30" t="s">
        <v>1456</v>
      </c>
      <c r="E2095" s="15" t="s">
        <v>1677</v>
      </c>
    </row>
    <row r="2096" spans="1:5" x14ac:dyDescent="0.25">
      <c r="A2096" s="36" t="e">
        <f>VLOOKUP($C2096,'Variable Information'!$A$2:$E$480,5,FALSE)</f>
        <v>#N/A</v>
      </c>
      <c r="B2096" s="36" t="e">
        <f>VLOOKUP($C2096,'Variable Information'!$A$1:$C$480,3,FALSE)</f>
        <v>#N/A</v>
      </c>
      <c r="C2096" s="35"/>
      <c r="D2096" s="30" t="s">
        <v>1458</v>
      </c>
      <c r="E2096" s="15" t="s">
        <v>1669</v>
      </c>
    </row>
    <row r="2097" spans="1:5" x14ac:dyDescent="0.25">
      <c r="A2097" s="36" t="e">
        <f>VLOOKUP($C2097,'Variable Information'!$A$2:$E$480,5,FALSE)</f>
        <v>#N/A</v>
      </c>
      <c r="B2097" s="36" t="e">
        <f>VLOOKUP($C2097,'Variable Information'!$A$1:$C$480,3,FALSE)</f>
        <v>#N/A</v>
      </c>
      <c r="C2097" s="35"/>
      <c r="D2097" s="30" t="s">
        <v>1460</v>
      </c>
      <c r="E2097" s="15" t="s">
        <v>1678</v>
      </c>
    </row>
    <row r="2098" spans="1:5" x14ac:dyDescent="0.25">
      <c r="A2098" s="36" t="str">
        <f>VLOOKUP($C2098,'Variable Information'!$A$2:$E$480,5,FALSE)</f>
        <v>AJR_drm_11_g</v>
      </c>
      <c r="B2098" s="36" t="str">
        <f>VLOOKUP($C2098,'Variable Information'!$A$1:$C$480,3,FALSE)</f>
        <v>Q29_1_iter11_g. Agree or Disagree - Other professional or organisation - The outcome was fair</v>
      </c>
      <c r="C2098" s="35" t="s">
        <v>1151</v>
      </c>
      <c r="D2098" s="30" t="s">
        <v>1447</v>
      </c>
      <c r="E2098" s="15" t="s">
        <v>1674</v>
      </c>
    </row>
    <row r="2099" spans="1:5" x14ac:dyDescent="0.25">
      <c r="A2099" s="36" t="e">
        <f>VLOOKUP($C2099,'Variable Information'!$A$2:$E$480,5,FALSE)</f>
        <v>#N/A</v>
      </c>
      <c r="B2099" s="36" t="e">
        <f>VLOOKUP($C2099,'Variable Information'!$A$1:$C$480,3,FALSE)</f>
        <v>#N/A</v>
      </c>
      <c r="C2099" s="35"/>
      <c r="D2099" s="30" t="s">
        <v>1449</v>
      </c>
      <c r="E2099" s="15" t="s">
        <v>1675</v>
      </c>
    </row>
    <row r="2100" spans="1:5" x14ac:dyDescent="0.25">
      <c r="A2100" s="36" t="e">
        <f>VLOOKUP($C2100,'Variable Information'!$A$2:$E$480,5,FALSE)</f>
        <v>#N/A</v>
      </c>
      <c r="B2100" s="36" t="e">
        <f>VLOOKUP($C2100,'Variable Information'!$A$1:$C$480,3,FALSE)</f>
        <v>#N/A</v>
      </c>
      <c r="C2100" s="35"/>
      <c r="D2100" s="30" t="s">
        <v>1451</v>
      </c>
      <c r="E2100" s="15" t="s">
        <v>1676</v>
      </c>
    </row>
    <row r="2101" spans="1:5" x14ac:dyDescent="0.25">
      <c r="A2101" s="36" t="e">
        <f>VLOOKUP($C2101,'Variable Information'!$A$2:$E$480,5,FALSE)</f>
        <v>#N/A</v>
      </c>
      <c r="B2101" s="36" t="e">
        <f>VLOOKUP($C2101,'Variable Information'!$A$1:$C$480,3,FALSE)</f>
        <v>#N/A</v>
      </c>
      <c r="C2101" s="35"/>
      <c r="D2101" s="30" t="s">
        <v>1456</v>
      </c>
      <c r="E2101" s="15" t="s">
        <v>1677</v>
      </c>
    </row>
    <row r="2102" spans="1:5" x14ac:dyDescent="0.25">
      <c r="A2102" s="36" t="e">
        <f>VLOOKUP($C2102,'Variable Information'!$A$2:$E$480,5,FALSE)</f>
        <v>#N/A</v>
      </c>
      <c r="B2102" s="36" t="e">
        <f>VLOOKUP($C2102,'Variable Information'!$A$1:$C$480,3,FALSE)</f>
        <v>#N/A</v>
      </c>
      <c r="C2102" s="35"/>
      <c r="D2102" s="30" t="s">
        <v>1458</v>
      </c>
      <c r="E2102" s="15" t="s">
        <v>1669</v>
      </c>
    </row>
    <row r="2103" spans="1:5" x14ac:dyDescent="0.25">
      <c r="A2103" s="36" t="e">
        <f>VLOOKUP($C2103,'Variable Information'!$A$2:$E$480,5,FALSE)</f>
        <v>#N/A</v>
      </c>
      <c r="B2103" s="36" t="e">
        <f>VLOOKUP($C2103,'Variable Information'!$A$1:$C$480,3,FALSE)</f>
        <v>#N/A</v>
      </c>
      <c r="C2103" s="35"/>
      <c r="D2103" s="30" t="s">
        <v>1460</v>
      </c>
      <c r="E2103" s="15" t="s">
        <v>1678</v>
      </c>
    </row>
    <row r="2104" spans="1:5" x14ac:dyDescent="0.25">
      <c r="A2104" s="36" t="str">
        <f>VLOOKUP($C2104,'Variable Information'!$A$2:$E$480,5,FALSE)</f>
        <v>AJR_drm_11_h</v>
      </c>
      <c r="B2104" s="36" t="str">
        <f>VLOOKUP($C2104,'Variable Information'!$A$1:$C$480,3,FALSE)</f>
        <v>Q29_1_iter11_h. Agree or Disagree - Other professional or organisation - &lt;&gt; was helpful</v>
      </c>
      <c r="C2104" s="35" t="s">
        <v>1154</v>
      </c>
      <c r="D2104" s="30" t="s">
        <v>1447</v>
      </c>
      <c r="E2104" s="15" t="s">
        <v>1674</v>
      </c>
    </row>
    <row r="2105" spans="1:5" x14ac:dyDescent="0.25">
      <c r="A2105" s="36" t="e">
        <f>VLOOKUP($C2105,'Variable Information'!$A$2:$E$480,5,FALSE)</f>
        <v>#N/A</v>
      </c>
      <c r="B2105" s="36" t="e">
        <f>VLOOKUP($C2105,'Variable Information'!$A$1:$C$480,3,FALSE)</f>
        <v>#N/A</v>
      </c>
      <c r="C2105" s="35"/>
      <c r="D2105" s="30" t="s">
        <v>1449</v>
      </c>
      <c r="E2105" s="15" t="s">
        <v>1675</v>
      </c>
    </row>
    <row r="2106" spans="1:5" x14ac:dyDescent="0.25">
      <c r="A2106" s="36" t="e">
        <f>VLOOKUP($C2106,'Variable Information'!$A$2:$E$480,5,FALSE)</f>
        <v>#N/A</v>
      </c>
      <c r="B2106" s="36" t="e">
        <f>VLOOKUP($C2106,'Variable Information'!$A$1:$C$480,3,FALSE)</f>
        <v>#N/A</v>
      </c>
      <c r="C2106" s="35"/>
      <c r="D2106" s="30" t="s">
        <v>1451</v>
      </c>
      <c r="E2106" s="15" t="s">
        <v>1676</v>
      </c>
    </row>
    <row r="2107" spans="1:5" x14ac:dyDescent="0.25">
      <c r="A2107" s="36" t="e">
        <f>VLOOKUP($C2107,'Variable Information'!$A$2:$E$480,5,FALSE)</f>
        <v>#N/A</v>
      </c>
      <c r="B2107" s="36" t="e">
        <f>VLOOKUP($C2107,'Variable Information'!$A$1:$C$480,3,FALSE)</f>
        <v>#N/A</v>
      </c>
      <c r="C2107" s="35"/>
      <c r="D2107" s="30" t="s">
        <v>1456</v>
      </c>
      <c r="E2107" s="15" t="s">
        <v>1677</v>
      </c>
    </row>
    <row r="2108" spans="1:5" x14ac:dyDescent="0.25">
      <c r="A2108" s="36" t="e">
        <f>VLOOKUP($C2108,'Variable Information'!$A$2:$E$480,5,FALSE)</f>
        <v>#N/A</v>
      </c>
      <c r="B2108" s="36" t="e">
        <f>VLOOKUP($C2108,'Variable Information'!$A$1:$C$480,3,FALSE)</f>
        <v>#N/A</v>
      </c>
      <c r="C2108" s="35"/>
      <c r="D2108" s="30" t="s">
        <v>1458</v>
      </c>
      <c r="E2108" s="15" t="s">
        <v>1669</v>
      </c>
    </row>
    <row r="2109" spans="1:5" x14ac:dyDescent="0.25">
      <c r="A2109" s="36" t="e">
        <f>VLOOKUP($C2109,'Variable Information'!$A$2:$E$480,5,FALSE)</f>
        <v>#N/A</v>
      </c>
      <c r="B2109" s="36" t="e">
        <f>VLOOKUP($C2109,'Variable Information'!$A$1:$C$480,3,FALSE)</f>
        <v>#N/A</v>
      </c>
      <c r="C2109" s="35"/>
      <c r="D2109" s="30" t="s">
        <v>1460</v>
      </c>
      <c r="E2109" s="15" t="s">
        <v>1678</v>
      </c>
    </row>
    <row r="2110" spans="1:5" x14ac:dyDescent="0.25">
      <c r="A2110" s="36" t="str">
        <f>VLOOKUP($C2110,'Variable Information'!$A$2:$E$480,5,FALSE)</f>
        <v>AJR_drm_11_i</v>
      </c>
      <c r="B2110" s="36" t="str">
        <f>VLOOKUP($C2110,'Variable Information'!$A$1:$C$480,3,FALSE)</f>
        <v>Q29_1_iter11_i. Agree or Disagree - Other professional or organisation - &lt;&gt; took my concerns and experiences seriously</v>
      </c>
      <c r="C2110" s="35" t="s">
        <v>1157</v>
      </c>
      <c r="D2110" s="30" t="s">
        <v>1447</v>
      </c>
      <c r="E2110" s="15" t="s">
        <v>1674</v>
      </c>
    </row>
    <row r="2111" spans="1:5" x14ac:dyDescent="0.25">
      <c r="A2111" s="36" t="e">
        <f>VLOOKUP($C2111,'Variable Information'!$A$2:$E$480,5,FALSE)</f>
        <v>#N/A</v>
      </c>
      <c r="B2111" s="36" t="e">
        <f>VLOOKUP($C2111,'Variable Information'!$A$1:$C$480,3,FALSE)</f>
        <v>#N/A</v>
      </c>
      <c r="C2111" s="35"/>
      <c r="D2111" s="30" t="s">
        <v>1449</v>
      </c>
      <c r="E2111" s="15" t="s">
        <v>1675</v>
      </c>
    </row>
    <row r="2112" spans="1:5" x14ac:dyDescent="0.25">
      <c r="A2112" s="36" t="e">
        <f>VLOOKUP($C2112,'Variable Information'!$A$2:$E$480,5,FALSE)</f>
        <v>#N/A</v>
      </c>
      <c r="B2112" s="36" t="e">
        <f>VLOOKUP($C2112,'Variable Information'!$A$1:$C$480,3,FALSE)</f>
        <v>#N/A</v>
      </c>
      <c r="C2112" s="35"/>
      <c r="D2112" s="30" t="s">
        <v>1451</v>
      </c>
      <c r="E2112" s="15" t="s">
        <v>1676</v>
      </c>
    </row>
    <row r="2113" spans="1:5" x14ac:dyDescent="0.25">
      <c r="A2113" s="36" t="e">
        <f>VLOOKUP($C2113,'Variable Information'!$A$2:$E$480,5,FALSE)</f>
        <v>#N/A</v>
      </c>
      <c r="B2113" s="36" t="e">
        <f>VLOOKUP($C2113,'Variable Information'!$A$1:$C$480,3,FALSE)</f>
        <v>#N/A</v>
      </c>
      <c r="C2113" s="35"/>
      <c r="D2113" s="30" t="s">
        <v>1456</v>
      </c>
      <c r="E2113" s="15" t="s">
        <v>1677</v>
      </c>
    </row>
    <row r="2114" spans="1:5" x14ac:dyDescent="0.25">
      <c r="A2114" s="36" t="e">
        <f>VLOOKUP($C2114,'Variable Information'!$A$2:$E$480,5,FALSE)</f>
        <v>#N/A</v>
      </c>
      <c r="B2114" s="36" t="e">
        <f>VLOOKUP($C2114,'Variable Information'!$A$1:$C$480,3,FALSE)</f>
        <v>#N/A</v>
      </c>
      <c r="C2114" s="35"/>
      <c r="D2114" s="30" t="s">
        <v>1458</v>
      </c>
      <c r="E2114" s="15" t="s">
        <v>1669</v>
      </c>
    </row>
    <row r="2115" spans="1:5" x14ac:dyDescent="0.25">
      <c r="A2115" s="36" t="e">
        <f>VLOOKUP($C2115,'Variable Information'!$A$2:$E$480,5,FALSE)</f>
        <v>#N/A</v>
      </c>
      <c r="B2115" s="36" t="e">
        <f>VLOOKUP($C2115,'Variable Information'!$A$1:$C$480,3,FALSE)</f>
        <v>#N/A</v>
      </c>
      <c r="C2115" s="35"/>
      <c r="D2115" s="30" t="s">
        <v>1460</v>
      </c>
      <c r="E2115" s="15" t="s">
        <v>1678</v>
      </c>
    </row>
    <row r="2116" spans="1:5" x14ac:dyDescent="0.25">
      <c r="A2116" s="36" t="str">
        <f>VLOOKUP($C2116,'Variable Information'!$A$2:$E$480,5,FALSE)</f>
        <v>AJR_drm_res_1_a</v>
      </c>
      <c r="B2116" s="36" t="str">
        <f>VLOOKUP($C2116,'Variable Information'!$A$1:$C$480,3,FALSE)</f>
        <v>Q29_2_iter01_a. Agree / disagree - I received the decision/outcome of the process in writing</v>
      </c>
      <c r="C2116" s="35" t="s">
        <v>1160</v>
      </c>
      <c r="D2116" s="30" t="s">
        <v>1447</v>
      </c>
      <c r="E2116" s="15" t="s">
        <v>1675</v>
      </c>
    </row>
    <row r="2117" spans="1:5" x14ac:dyDescent="0.25">
      <c r="A2117" s="36" t="e">
        <f>VLOOKUP($C2117,'Variable Information'!$A$2:$E$480,5,FALSE)</f>
        <v>#N/A</v>
      </c>
      <c r="B2117" s="36" t="e">
        <f>VLOOKUP($C2117,'Variable Information'!$A$1:$C$480,3,FALSE)</f>
        <v>#N/A</v>
      </c>
      <c r="C2117" s="35"/>
      <c r="D2117" s="30" t="s">
        <v>1449</v>
      </c>
      <c r="E2117" s="15" t="s">
        <v>1676</v>
      </c>
    </row>
    <row r="2118" spans="1:5" x14ac:dyDescent="0.25">
      <c r="A2118" s="36" t="e">
        <f>VLOOKUP($C2118,'Variable Information'!$A$2:$E$480,5,FALSE)</f>
        <v>#N/A</v>
      </c>
      <c r="B2118" s="36" t="e">
        <f>VLOOKUP($C2118,'Variable Information'!$A$1:$C$480,3,FALSE)</f>
        <v>#N/A</v>
      </c>
      <c r="C2118" s="35"/>
      <c r="D2118" s="30" t="s">
        <v>1451</v>
      </c>
      <c r="E2118" s="15" t="s">
        <v>1669</v>
      </c>
    </row>
    <row r="2119" spans="1:5" x14ac:dyDescent="0.25">
      <c r="A2119" s="36" t="e">
        <f>VLOOKUP($C2119,'Variable Information'!$A$2:$E$480,5,FALSE)</f>
        <v>#N/A</v>
      </c>
      <c r="B2119" s="36" t="e">
        <f>VLOOKUP($C2119,'Variable Information'!$A$1:$C$480,3,FALSE)</f>
        <v>#N/A</v>
      </c>
      <c r="C2119" s="35"/>
      <c r="D2119" s="30" t="s">
        <v>1456</v>
      </c>
      <c r="E2119" s="15" t="s">
        <v>1678</v>
      </c>
    </row>
    <row r="2120" spans="1:5" x14ac:dyDescent="0.25">
      <c r="A2120" s="36" t="str">
        <f>VLOOKUP($C2120,'Variable Information'!$A$2:$E$480,5,FALSE)</f>
        <v>AJR_drm_res_1_b</v>
      </c>
      <c r="B2120" s="36" t="str">
        <f>VLOOKUP($C2120,'Variable Information'!$A$1:$C$480,3,FALSE)</f>
        <v>Q29_2_iter01_b. Agree / disagree - I could have appealed the decision/outcome</v>
      </c>
      <c r="C2120" s="35" t="s">
        <v>1163</v>
      </c>
      <c r="D2120" s="30" t="s">
        <v>1447</v>
      </c>
      <c r="E2120" s="15" t="s">
        <v>1675</v>
      </c>
    </row>
    <row r="2121" spans="1:5" x14ac:dyDescent="0.25">
      <c r="A2121" s="36" t="e">
        <f>VLOOKUP($C2121,'Variable Information'!$A$2:$E$480,5,FALSE)</f>
        <v>#N/A</v>
      </c>
      <c r="B2121" s="36" t="e">
        <f>VLOOKUP($C2121,'Variable Information'!$A$1:$C$480,3,FALSE)</f>
        <v>#N/A</v>
      </c>
      <c r="C2121" s="35"/>
      <c r="D2121" s="30" t="s">
        <v>1449</v>
      </c>
      <c r="E2121" s="15" t="s">
        <v>1676</v>
      </c>
    </row>
    <row r="2122" spans="1:5" x14ac:dyDescent="0.25">
      <c r="A2122" s="36" t="e">
        <f>VLOOKUP($C2122,'Variable Information'!$A$2:$E$480,5,FALSE)</f>
        <v>#N/A</v>
      </c>
      <c r="B2122" s="36" t="e">
        <f>VLOOKUP($C2122,'Variable Information'!$A$1:$C$480,3,FALSE)</f>
        <v>#N/A</v>
      </c>
      <c r="C2122" s="35"/>
      <c r="D2122" s="30" t="s">
        <v>1451</v>
      </c>
      <c r="E2122" s="15" t="s">
        <v>1669</v>
      </c>
    </row>
    <row r="2123" spans="1:5" x14ac:dyDescent="0.25">
      <c r="A2123" s="36" t="e">
        <f>VLOOKUP($C2123,'Variable Information'!$A$2:$E$480,5,FALSE)</f>
        <v>#N/A</v>
      </c>
      <c r="B2123" s="36" t="e">
        <f>VLOOKUP($C2123,'Variable Information'!$A$1:$C$480,3,FALSE)</f>
        <v>#N/A</v>
      </c>
      <c r="C2123" s="35"/>
      <c r="D2123" s="30" t="s">
        <v>1456</v>
      </c>
      <c r="E2123" s="15" t="s">
        <v>1678</v>
      </c>
    </row>
    <row r="2124" spans="1:5" x14ac:dyDescent="0.25">
      <c r="A2124" s="36" t="str">
        <f>VLOOKUP($C2124,'Variable Information'!$A$2:$E$480,5,FALSE)</f>
        <v>AJR_drm_res_1_c</v>
      </c>
      <c r="B2124" s="36" t="str">
        <f>VLOOKUP($C2124,'Variable Information'!$A$1:$C$480,3,FALSE)</f>
        <v>Q29_2_iter01_c. Agree / disagree - I was represented by a lawyer</v>
      </c>
      <c r="C2124" s="35" t="s">
        <v>1166</v>
      </c>
      <c r="D2124" s="30" t="s">
        <v>1447</v>
      </c>
      <c r="E2124" s="15" t="s">
        <v>1675</v>
      </c>
    </row>
    <row r="2125" spans="1:5" x14ac:dyDescent="0.25">
      <c r="A2125" s="36" t="e">
        <f>VLOOKUP($C2125,'Variable Information'!$A$2:$E$480,5,FALSE)</f>
        <v>#N/A</v>
      </c>
      <c r="B2125" s="36" t="e">
        <f>VLOOKUP($C2125,'Variable Information'!$A$1:$C$480,3,FALSE)</f>
        <v>#N/A</v>
      </c>
      <c r="C2125" s="35"/>
      <c r="D2125" s="30" t="s">
        <v>1449</v>
      </c>
      <c r="E2125" s="15" t="s">
        <v>1676</v>
      </c>
    </row>
    <row r="2126" spans="1:5" x14ac:dyDescent="0.25">
      <c r="A2126" s="36" t="e">
        <f>VLOOKUP($C2126,'Variable Information'!$A$2:$E$480,5,FALSE)</f>
        <v>#N/A</v>
      </c>
      <c r="B2126" s="36" t="e">
        <f>VLOOKUP($C2126,'Variable Information'!$A$1:$C$480,3,FALSE)</f>
        <v>#N/A</v>
      </c>
      <c r="C2126" s="35"/>
      <c r="D2126" s="30" t="s">
        <v>1451</v>
      </c>
      <c r="E2126" s="15" t="s">
        <v>1669</v>
      </c>
    </row>
    <row r="2127" spans="1:5" x14ac:dyDescent="0.25">
      <c r="A2127" s="36" t="e">
        <f>VLOOKUP($C2127,'Variable Information'!$A$2:$E$480,5,FALSE)</f>
        <v>#N/A</v>
      </c>
      <c r="B2127" s="36" t="e">
        <f>VLOOKUP($C2127,'Variable Information'!$A$1:$C$480,3,FALSE)</f>
        <v>#N/A</v>
      </c>
      <c r="C2127" s="35"/>
      <c r="D2127" s="30" t="s">
        <v>1456</v>
      </c>
      <c r="E2127" s="15" t="s">
        <v>1678</v>
      </c>
    </row>
    <row r="2128" spans="1:5" x14ac:dyDescent="0.25">
      <c r="A2128" s="36" t="str">
        <f>VLOOKUP($C2128,'Variable Information'!$A$2:$E$480,5,FALSE)</f>
        <v>AJR_drm_res_1_d</v>
      </c>
      <c r="B2128" s="36" t="str">
        <f>VLOOKUP($C2128,'Variable Information'!$A$1:$C$480,3,FALSE)</f>
        <v>Q29_2_iter01_d. Agree / disagree - I was represented by another advisor, person or organisation</v>
      </c>
      <c r="C2128" s="35" t="s">
        <v>1169</v>
      </c>
      <c r="D2128" s="30" t="s">
        <v>1447</v>
      </c>
      <c r="E2128" s="15" t="s">
        <v>1675</v>
      </c>
    </row>
    <row r="2129" spans="1:5" x14ac:dyDescent="0.25">
      <c r="A2129" s="36" t="e">
        <f>VLOOKUP($C2129,'Variable Information'!$A$2:$E$480,5,FALSE)</f>
        <v>#N/A</v>
      </c>
      <c r="B2129" s="36" t="e">
        <f>VLOOKUP($C2129,'Variable Information'!$A$1:$C$480,3,FALSE)</f>
        <v>#N/A</v>
      </c>
      <c r="C2129" s="35"/>
      <c r="D2129" s="30" t="s">
        <v>1449</v>
      </c>
      <c r="E2129" s="15" t="s">
        <v>1676</v>
      </c>
    </row>
    <row r="2130" spans="1:5" x14ac:dyDescent="0.25">
      <c r="A2130" s="36" t="e">
        <f>VLOOKUP($C2130,'Variable Information'!$A$2:$E$480,5,FALSE)</f>
        <v>#N/A</v>
      </c>
      <c r="B2130" s="36" t="e">
        <f>VLOOKUP($C2130,'Variable Information'!$A$1:$C$480,3,FALSE)</f>
        <v>#N/A</v>
      </c>
      <c r="C2130" s="35"/>
      <c r="D2130" s="30" t="s">
        <v>1451</v>
      </c>
      <c r="E2130" s="15" t="s">
        <v>1669</v>
      </c>
    </row>
    <row r="2131" spans="1:5" x14ac:dyDescent="0.25">
      <c r="A2131" s="36" t="e">
        <f>VLOOKUP($C2131,'Variable Information'!$A$2:$E$480,5,FALSE)</f>
        <v>#N/A</v>
      </c>
      <c r="B2131" s="36" t="e">
        <f>VLOOKUP($C2131,'Variable Information'!$A$1:$C$480,3,FALSE)</f>
        <v>#N/A</v>
      </c>
      <c r="C2131" s="35"/>
      <c r="D2131" s="30" t="s">
        <v>1456</v>
      </c>
      <c r="E2131" s="15" t="s">
        <v>1678</v>
      </c>
    </row>
    <row r="2132" spans="1:5" x14ac:dyDescent="0.25">
      <c r="A2132" s="36" t="str">
        <f>VLOOKUP($C2132,'Variable Information'!$A$2:$E$480,5,FALSE)</f>
        <v>AJR_drm_res_2_a</v>
      </c>
      <c r="B2132" s="36" t="str">
        <f>VLOOKUP($C2132,'Variable Information'!$A$1:$C$480,3,FALSE)</f>
        <v>Q29_2_iter02_a. Agree / disagree - I received the decision/outcome of the process in writing</v>
      </c>
      <c r="C2132" s="35" t="s">
        <v>1172</v>
      </c>
      <c r="D2132" s="30" t="s">
        <v>1447</v>
      </c>
      <c r="E2132" s="15" t="s">
        <v>1675</v>
      </c>
    </row>
    <row r="2133" spans="1:5" x14ac:dyDescent="0.25">
      <c r="A2133" s="36" t="e">
        <f>VLOOKUP($C2133,'Variable Information'!$A$2:$E$480,5,FALSE)</f>
        <v>#N/A</v>
      </c>
      <c r="B2133" s="36" t="e">
        <f>VLOOKUP($C2133,'Variable Information'!$A$1:$C$480,3,FALSE)</f>
        <v>#N/A</v>
      </c>
      <c r="C2133" s="35"/>
      <c r="D2133" s="30" t="s">
        <v>1449</v>
      </c>
      <c r="E2133" s="15" t="s">
        <v>1676</v>
      </c>
    </row>
    <row r="2134" spans="1:5" x14ac:dyDescent="0.25">
      <c r="A2134" s="36" t="e">
        <f>VLOOKUP($C2134,'Variable Information'!$A$2:$E$480,5,FALSE)</f>
        <v>#N/A</v>
      </c>
      <c r="B2134" s="36" t="e">
        <f>VLOOKUP($C2134,'Variable Information'!$A$1:$C$480,3,FALSE)</f>
        <v>#N/A</v>
      </c>
      <c r="C2134" s="35"/>
      <c r="D2134" s="30" t="s">
        <v>1451</v>
      </c>
      <c r="E2134" s="15" t="s">
        <v>1669</v>
      </c>
    </row>
    <row r="2135" spans="1:5" x14ac:dyDescent="0.25">
      <c r="A2135" s="36" t="e">
        <f>VLOOKUP($C2135,'Variable Information'!$A$2:$E$480,5,FALSE)</f>
        <v>#N/A</v>
      </c>
      <c r="B2135" s="36" t="e">
        <f>VLOOKUP($C2135,'Variable Information'!$A$1:$C$480,3,FALSE)</f>
        <v>#N/A</v>
      </c>
      <c r="C2135" s="35"/>
      <c r="D2135" s="30" t="s">
        <v>1456</v>
      </c>
      <c r="E2135" s="15" t="s">
        <v>1678</v>
      </c>
    </row>
    <row r="2136" spans="1:5" x14ac:dyDescent="0.25">
      <c r="A2136" s="36" t="str">
        <f>VLOOKUP($C2136,'Variable Information'!$A$2:$E$480,5,FALSE)</f>
        <v>AJR_drm_res_2_b</v>
      </c>
      <c r="B2136" s="36" t="str">
        <f>VLOOKUP($C2136,'Variable Information'!$A$1:$C$480,3,FALSE)</f>
        <v>Q29_2_iter02_b. Agree / disagree - I could have appealed the decision/outcome</v>
      </c>
      <c r="C2136" s="35" t="s">
        <v>1175</v>
      </c>
      <c r="D2136" s="30" t="s">
        <v>1447</v>
      </c>
      <c r="E2136" s="15" t="s">
        <v>1675</v>
      </c>
    </row>
    <row r="2137" spans="1:5" x14ac:dyDescent="0.25">
      <c r="A2137" s="36" t="e">
        <f>VLOOKUP($C2137,'Variable Information'!$A$2:$E$480,5,FALSE)</f>
        <v>#N/A</v>
      </c>
      <c r="B2137" s="36" t="e">
        <f>VLOOKUP($C2137,'Variable Information'!$A$1:$C$480,3,FALSE)</f>
        <v>#N/A</v>
      </c>
      <c r="C2137" s="35"/>
      <c r="D2137" s="30" t="s">
        <v>1449</v>
      </c>
      <c r="E2137" s="15" t="s">
        <v>1676</v>
      </c>
    </row>
    <row r="2138" spans="1:5" x14ac:dyDescent="0.25">
      <c r="A2138" s="36" t="e">
        <f>VLOOKUP($C2138,'Variable Information'!$A$2:$E$480,5,FALSE)</f>
        <v>#N/A</v>
      </c>
      <c r="B2138" s="36" t="e">
        <f>VLOOKUP($C2138,'Variable Information'!$A$1:$C$480,3,FALSE)</f>
        <v>#N/A</v>
      </c>
      <c r="C2138" s="35"/>
      <c r="D2138" s="30" t="s">
        <v>1451</v>
      </c>
      <c r="E2138" s="15" t="s">
        <v>1669</v>
      </c>
    </row>
    <row r="2139" spans="1:5" x14ac:dyDescent="0.25">
      <c r="A2139" s="36" t="e">
        <f>VLOOKUP($C2139,'Variable Information'!$A$2:$E$480,5,FALSE)</f>
        <v>#N/A</v>
      </c>
      <c r="B2139" s="36" t="e">
        <f>VLOOKUP($C2139,'Variable Information'!$A$1:$C$480,3,FALSE)</f>
        <v>#N/A</v>
      </c>
      <c r="C2139" s="35"/>
      <c r="D2139" s="30" t="s">
        <v>1456</v>
      </c>
      <c r="E2139" s="15" t="s">
        <v>1678</v>
      </c>
    </row>
    <row r="2140" spans="1:5" x14ac:dyDescent="0.25">
      <c r="A2140" s="36" t="str">
        <f>VLOOKUP($C2140,'Variable Information'!$A$2:$E$480,5,FALSE)</f>
        <v>AJR_drm_res_2_c</v>
      </c>
      <c r="B2140" s="36" t="str">
        <f>VLOOKUP($C2140,'Variable Information'!$A$1:$C$480,3,FALSE)</f>
        <v>Q29_2_iter02_c. Agree / disagree - I was represented by a lawyer</v>
      </c>
      <c r="C2140" s="35" t="s">
        <v>1178</v>
      </c>
      <c r="D2140" s="30" t="s">
        <v>1447</v>
      </c>
      <c r="E2140" s="15" t="s">
        <v>1675</v>
      </c>
    </row>
    <row r="2141" spans="1:5" x14ac:dyDescent="0.25">
      <c r="A2141" s="36" t="e">
        <f>VLOOKUP($C2141,'Variable Information'!$A$2:$E$480,5,FALSE)</f>
        <v>#N/A</v>
      </c>
      <c r="B2141" s="36" t="e">
        <f>VLOOKUP($C2141,'Variable Information'!$A$1:$C$480,3,FALSE)</f>
        <v>#N/A</v>
      </c>
      <c r="C2141" s="35"/>
      <c r="D2141" s="30" t="s">
        <v>1449</v>
      </c>
      <c r="E2141" s="15" t="s">
        <v>1676</v>
      </c>
    </row>
    <row r="2142" spans="1:5" x14ac:dyDescent="0.25">
      <c r="A2142" s="36" t="e">
        <f>VLOOKUP($C2142,'Variable Information'!$A$2:$E$480,5,FALSE)</f>
        <v>#N/A</v>
      </c>
      <c r="B2142" s="36" t="e">
        <f>VLOOKUP($C2142,'Variable Information'!$A$1:$C$480,3,FALSE)</f>
        <v>#N/A</v>
      </c>
      <c r="C2142" s="35"/>
      <c r="D2142" s="30" t="s">
        <v>1451</v>
      </c>
      <c r="E2142" s="15" t="s">
        <v>1669</v>
      </c>
    </row>
    <row r="2143" spans="1:5" x14ac:dyDescent="0.25">
      <c r="A2143" s="36" t="e">
        <f>VLOOKUP($C2143,'Variable Information'!$A$2:$E$480,5,FALSE)</f>
        <v>#N/A</v>
      </c>
      <c r="B2143" s="36" t="e">
        <f>VLOOKUP($C2143,'Variable Information'!$A$1:$C$480,3,FALSE)</f>
        <v>#N/A</v>
      </c>
      <c r="C2143" s="35"/>
      <c r="D2143" s="30" t="s">
        <v>1456</v>
      </c>
      <c r="E2143" s="15" t="s">
        <v>1678</v>
      </c>
    </row>
    <row r="2144" spans="1:5" x14ac:dyDescent="0.25">
      <c r="A2144" s="36" t="str">
        <f>VLOOKUP($C2144,'Variable Information'!$A$2:$E$480,5,FALSE)</f>
        <v>AJR_drm_res_2_d</v>
      </c>
      <c r="B2144" s="36" t="str">
        <f>VLOOKUP($C2144,'Variable Information'!$A$1:$C$480,3,FALSE)</f>
        <v>Q29_2_iter02_d. Agree / disagree - I was represented by another advisor, person or organisation</v>
      </c>
      <c r="C2144" s="35" t="s">
        <v>1181</v>
      </c>
      <c r="D2144" s="30" t="s">
        <v>1447</v>
      </c>
      <c r="E2144" s="15" t="s">
        <v>1675</v>
      </c>
    </row>
    <row r="2145" spans="1:5" x14ac:dyDescent="0.25">
      <c r="A2145" s="36" t="e">
        <f>VLOOKUP($C2145,'Variable Information'!$A$2:$E$480,5,FALSE)</f>
        <v>#N/A</v>
      </c>
      <c r="B2145" s="36" t="e">
        <f>VLOOKUP($C2145,'Variable Information'!$A$1:$C$480,3,FALSE)</f>
        <v>#N/A</v>
      </c>
      <c r="C2145" s="35"/>
      <c r="D2145" s="30" t="s">
        <v>1449</v>
      </c>
      <c r="E2145" s="15" t="s">
        <v>1676</v>
      </c>
    </row>
    <row r="2146" spans="1:5" x14ac:dyDescent="0.25">
      <c r="A2146" s="36" t="e">
        <f>VLOOKUP($C2146,'Variable Information'!$A$2:$E$480,5,FALSE)</f>
        <v>#N/A</v>
      </c>
      <c r="B2146" s="36" t="e">
        <f>VLOOKUP($C2146,'Variable Information'!$A$1:$C$480,3,FALSE)</f>
        <v>#N/A</v>
      </c>
      <c r="C2146" s="35"/>
      <c r="D2146" s="30" t="s">
        <v>1451</v>
      </c>
      <c r="E2146" s="15" t="s">
        <v>1669</v>
      </c>
    </row>
    <row r="2147" spans="1:5" x14ac:dyDescent="0.25">
      <c r="A2147" s="36" t="e">
        <f>VLOOKUP($C2147,'Variable Information'!$A$2:$E$480,5,FALSE)</f>
        <v>#N/A</v>
      </c>
      <c r="B2147" s="36" t="e">
        <f>VLOOKUP($C2147,'Variable Information'!$A$1:$C$480,3,FALSE)</f>
        <v>#N/A</v>
      </c>
      <c r="C2147" s="35"/>
      <c r="D2147" s="30" t="s">
        <v>1456</v>
      </c>
      <c r="E2147" s="15" t="s">
        <v>1678</v>
      </c>
    </row>
    <row r="2148" spans="1:5" x14ac:dyDescent="0.25">
      <c r="A2148" s="36" t="str">
        <f>VLOOKUP($C2148,'Variable Information'!$A$2:$E$480,5,FALSE)</f>
        <v>AJR_drm_res_3_a</v>
      </c>
      <c r="B2148" s="36" t="str">
        <f>VLOOKUP($C2148,'Variable Information'!$A$1:$C$480,3,FALSE)</f>
        <v>Q29_2_iter03_a. Agree / disagree - I received the decision/outcome of the process in writing</v>
      </c>
      <c r="C2148" s="35" t="s">
        <v>1184</v>
      </c>
      <c r="D2148" s="30" t="s">
        <v>1447</v>
      </c>
      <c r="E2148" s="15" t="s">
        <v>1675</v>
      </c>
    </row>
    <row r="2149" spans="1:5" x14ac:dyDescent="0.25">
      <c r="A2149" s="36" t="e">
        <f>VLOOKUP($C2149,'Variable Information'!$A$2:$E$480,5,FALSE)</f>
        <v>#N/A</v>
      </c>
      <c r="B2149" s="36" t="e">
        <f>VLOOKUP($C2149,'Variable Information'!$A$1:$C$480,3,FALSE)</f>
        <v>#N/A</v>
      </c>
      <c r="C2149" s="35"/>
      <c r="D2149" s="30" t="s">
        <v>1449</v>
      </c>
      <c r="E2149" s="15" t="s">
        <v>1676</v>
      </c>
    </row>
    <row r="2150" spans="1:5" x14ac:dyDescent="0.25">
      <c r="A2150" s="36" t="e">
        <f>VLOOKUP($C2150,'Variable Information'!$A$2:$E$480,5,FALSE)</f>
        <v>#N/A</v>
      </c>
      <c r="B2150" s="36" t="e">
        <f>VLOOKUP($C2150,'Variable Information'!$A$1:$C$480,3,FALSE)</f>
        <v>#N/A</v>
      </c>
      <c r="C2150" s="35"/>
      <c r="D2150" s="30" t="s">
        <v>1451</v>
      </c>
      <c r="E2150" s="15" t="s">
        <v>1669</v>
      </c>
    </row>
    <row r="2151" spans="1:5" x14ac:dyDescent="0.25">
      <c r="A2151" s="36" t="e">
        <f>VLOOKUP($C2151,'Variable Information'!$A$2:$E$480,5,FALSE)</f>
        <v>#N/A</v>
      </c>
      <c r="B2151" s="36" t="e">
        <f>VLOOKUP($C2151,'Variable Information'!$A$1:$C$480,3,FALSE)</f>
        <v>#N/A</v>
      </c>
      <c r="C2151" s="35"/>
      <c r="D2151" s="30" t="s">
        <v>1456</v>
      </c>
      <c r="E2151" s="15" t="s">
        <v>1678</v>
      </c>
    </row>
    <row r="2152" spans="1:5" x14ac:dyDescent="0.25">
      <c r="A2152" s="36" t="str">
        <f>VLOOKUP($C2152,'Variable Information'!$A$2:$E$480,5,FALSE)</f>
        <v>AJR_drm_res_3_b</v>
      </c>
      <c r="B2152" s="36" t="str">
        <f>VLOOKUP($C2152,'Variable Information'!$A$1:$C$480,3,FALSE)</f>
        <v>Q29_2_iter03_b. Agree / disagree - I could have appealed the decision/outcome</v>
      </c>
      <c r="C2152" s="35" t="s">
        <v>1187</v>
      </c>
      <c r="D2152" s="30" t="s">
        <v>1447</v>
      </c>
      <c r="E2152" s="15" t="s">
        <v>1675</v>
      </c>
    </row>
    <row r="2153" spans="1:5" x14ac:dyDescent="0.25">
      <c r="A2153" s="36" t="e">
        <f>VLOOKUP($C2153,'Variable Information'!$A$2:$E$480,5,FALSE)</f>
        <v>#N/A</v>
      </c>
      <c r="B2153" s="36" t="e">
        <f>VLOOKUP($C2153,'Variable Information'!$A$1:$C$480,3,FALSE)</f>
        <v>#N/A</v>
      </c>
      <c r="C2153" s="35"/>
      <c r="D2153" s="30" t="s">
        <v>1449</v>
      </c>
      <c r="E2153" s="15" t="s">
        <v>1676</v>
      </c>
    </row>
    <row r="2154" spans="1:5" x14ac:dyDescent="0.25">
      <c r="A2154" s="36" t="e">
        <f>VLOOKUP($C2154,'Variable Information'!$A$2:$E$480,5,FALSE)</f>
        <v>#N/A</v>
      </c>
      <c r="B2154" s="36" t="e">
        <f>VLOOKUP($C2154,'Variable Information'!$A$1:$C$480,3,FALSE)</f>
        <v>#N/A</v>
      </c>
      <c r="C2154" s="35"/>
      <c r="D2154" s="30" t="s">
        <v>1451</v>
      </c>
      <c r="E2154" s="15" t="s">
        <v>1669</v>
      </c>
    </row>
    <row r="2155" spans="1:5" x14ac:dyDescent="0.25">
      <c r="A2155" s="36" t="e">
        <f>VLOOKUP($C2155,'Variable Information'!$A$2:$E$480,5,FALSE)</f>
        <v>#N/A</v>
      </c>
      <c r="B2155" s="36" t="e">
        <f>VLOOKUP($C2155,'Variable Information'!$A$1:$C$480,3,FALSE)</f>
        <v>#N/A</v>
      </c>
      <c r="C2155" s="35"/>
      <c r="D2155" s="30" t="s">
        <v>1456</v>
      </c>
      <c r="E2155" s="15" t="s">
        <v>1678</v>
      </c>
    </row>
    <row r="2156" spans="1:5" x14ac:dyDescent="0.25">
      <c r="A2156" s="36" t="str">
        <f>VLOOKUP($C2156,'Variable Information'!$A$2:$E$480,5,FALSE)</f>
        <v>AJR_drm_res_3_c</v>
      </c>
      <c r="B2156" s="36" t="str">
        <f>VLOOKUP($C2156,'Variable Information'!$A$1:$C$480,3,FALSE)</f>
        <v>Q29_2_iter03_c. Agree / disagree - I was represented by a lawyer</v>
      </c>
      <c r="C2156" s="35" t="s">
        <v>1190</v>
      </c>
      <c r="D2156" s="30" t="s">
        <v>1447</v>
      </c>
      <c r="E2156" s="15" t="s">
        <v>1675</v>
      </c>
    </row>
    <row r="2157" spans="1:5" x14ac:dyDescent="0.25">
      <c r="A2157" s="36" t="e">
        <f>VLOOKUP($C2157,'Variable Information'!$A$2:$E$480,5,FALSE)</f>
        <v>#N/A</v>
      </c>
      <c r="B2157" s="36" t="e">
        <f>VLOOKUP($C2157,'Variable Information'!$A$1:$C$480,3,FALSE)</f>
        <v>#N/A</v>
      </c>
      <c r="C2157" s="35"/>
      <c r="D2157" s="30" t="s">
        <v>1449</v>
      </c>
      <c r="E2157" s="15" t="s">
        <v>1676</v>
      </c>
    </row>
    <row r="2158" spans="1:5" x14ac:dyDescent="0.25">
      <c r="A2158" s="36" t="e">
        <f>VLOOKUP($C2158,'Variable Information'!$A$2:$E$480,5,FALSE)</f>
        <v>#N/A</v>
      </c>
      <c r="B2158" s="36" t="e">
        <f>VLOOKUP($C2158,'Variable Information'!$A$1:$C$480,3,FALSE)</f>
        <v>#N/A</v>
      </c>
      <c r="C2158" s="35"/>
      <c r="D2158" s="30" t="s">
        <v>1451</v>
      </c>
      <c r="E2158" s="15" t="s">
        <v>1669</v>
      </c>
    </row>
    <row r="2159" spans="1:5" x14ac:dyDescent="0.25">
      <c r="A2159" s="36" t="e">
        <f>VLOOKUP($C2159,'Variable Information'!$A$2:$E$480,5,FALSE)</f>
        <v>#N/A</v>
      </c>
      <c r="B2159" s="36" t="e">
        <f>VLOOKUP($C2159,'Variable Information'!$A$1:$C$480,3,FALSE)</f>
        <v>#N/A</v>
      </c>
      <c r="C2159" s="35"/>
      <c r="D2159" s="30" t="s">
        <v>1456</v>
      </c>
      <c r="E2159" s="15" t="s">
        <v>1678</v>
      </c>
    </row>
    <row r="2160" spans="1:5" x14ac:dyDescent="0.25">
      <c r="A2160" s="36" t="str">
        <f>VLOOKUP($C2160,'Variable Information'!$A$2:$E$480,5,FALSE)</f>
        <v>AJR_drm_res_3_d</v>
      </c>
      <c r="B2160" s="36" t="str">
        <f>VLOOKUP($C2160,'Variable Information'!$A$1:$C$480,3,FALSE)</f>
        <v>Q29_2_iter03_d. Agree / disagree - I was represented by another advisor, person or organisation</v>
      </c>
      <c r="C2160" s="35" t="s">
        <v>1193</v>
      </c>
      <c r="D2160" s="30" t="s">
        <v>1447</v>
      </c>
      <c r="E2160" s="15" t="s">
        <v>1675</v>
      </c>
    </row>
    <row r="2161" spans="1:5" x14ac:dyDescent="0.25">
      <c r="A2161" s="36" t="e">
        <f>VLOOKUP($C2161,'Variable Information'!$A$2:$E$480,5,FALSE)</f>
        <v>#N/A</v>
      </c>
      <c r="B2161" s="36" t="e">
        <f>VLOOKUP($C2161,'Variable Information'!$A$1:$C$480,3,FALSE)</f>
        <v>#N/A</v>
      </c>
      <c r="C2161" s="35"/>
      <c r="D2161" s="30" t="s">
        <v>1449</v>
      </c>
      <c r="E2161" s="15" t="s">
        <v>1676</v>
      </c>
    </row>
    <row r="2162" spans="1:5" x14ac:dyDescent="0.25">
      <c r="A2162" s="36" t="e">
        <f>VLOOKUP($C2162,'Variable Information'!$A$2:$E$480,5,FALSE)</f>
        <v>#N/A</v>
      </c>
      <c r="B2162" s="36" t="e">
        <f>VLOOKUP($C2162,'Variable Information'!$A$1:$C$480,3,FALSE)</f>
        <v>#N/A</v>
      </c>
      <c r="C2162" s="35"/>
      <c r="D2162" s="30" t="s">
        <v>1451</v>
      </c>
      <c r="E2162" s="15" t="s">
        <v>1669</v>
      </c>
    </row>
    <row r="2163" spans="1:5" x14ac:dyDescent="0.25">
      <c r="A2163" s="36" t="e">
        <f>VLOOKUP($C2163,'Variable Information'!$A$2:$E$480,5,FALSE)</f>
        <v>#N/A</v>
      </c>
      <c r="B2163" s="36" t="e">
        <f>VLOOKUP($C2163,'Variable Information'!$A$1:$C$480,3,FALSE)</f>
        <v>#N/A</v>
      </c>
      <c r="C2163" s="35"/>
      <c r="D2163" s="30" t="s">
        <v>1456</v>
      </c>
      <c r="E2163" s="15" t="s">
        <v>1678</v>
      </c>
    </row>
    <row r="2164" spans="1:5" x14ac:dyDescent="0.25">
      <c r="A2164" s="36" t="str">
        <f>VLOOKUP($C2164,'Variable Information'!$A$2:$E$480,5,FALSE)</f>
        <v>AJR_drm_res_4_a</v>
      </c>
      <c r="B2164" s="36" t="str">
        <f>VLOOKUP($C2164,'Variable Information'!$A$1:$C$480,3,FALSE)</f>
        <v>Q29_2_iter04_a. Agree / disagree - I received the decision/outcome of the process in writing</v>
      </c>
      <c r="C2164" s="35" t="s">
        <v>1196</v>
      </c>
      <c r="D2164" s="30" t="s">
        <v>1447</v>
      </c>
      <c r="E2164" s="15" t="s">
        <v>1675</v>
      </c>
    </row>
    <row r="2165" spans="1:5" x14ac:dyDescent="0.25">
      <c r="A2165" s="36" t="e">
        <f>VLOOKUP($C2165,'Variable Information'!$A$2:$E$480,5,FALSE)</f>
        <v>#N/A</v>
      </c>
      <c r="B2165" s="36" t="e">
        <f>VLOOKUP($C2165,'Variable Information'!$A$1:$C$480,3,FALSE)</f>
        <v>#N/A</v>
      </c>
      <c r="C2165" s="35"/>
      <c r="D2165" s="30" t="s">
        <v>1449</v>
      </c>
      <c r="E2165" s="15" t="s">
        <v>1676</v>
      </c>
    </row>
    <row r="2166" spans="1:5" x14ac:dyDescent="0.25">
      <c r="A2166" s="36" t="e">
        <f>VLOOKUP($C2166,'Variable Information'!$A$2:$E$480,5,FALSE)</f>
        <v>#N/A</v>
      </c>
      <c r="B2166" s="36" t="e">
        <f>VLOOKUP($C2166,'Variable Information'!$A$1:$C$480,3,FALSE)</f>
        <v>#N/A</v>
      </c>
      <c r="C2166" s="35"/>
      <c r="D2166" s="30" t="s">
        <v>1451</v>
      </c>
      <c r="E2166" s="15" t="s">
        <v>1669</v>
      </c>
    </row>
    <row r="2167" spans="1:5" x14ac:dyDescent="0.25">
      <c r="A2167" s="36" t="e">
        <f>VLOOKUP($C2167,'Variable Information'!$A$2:$E$480,5,FALSE)</f>
        <v>#N/A</v>
      </c>
      <c r="B2167" s="36" t="e">
        <f>VLOOKUP($C2167,'Variable Information'!$A$1:$C$480,3,FALSE)</f>
        <v>#N/A</v>
      </c>
      <c r="C2167" s="35"/>
      <c r="D2167" s="30" t="s">
        <v>1456</v>
      </c>
      <c r="E2167" s="15" t="s">
        <v>1678</v>
      </c>
    </row>
    <row r="2168" spans="1:5" x14ac:dyDescent="0.25">
      <c r="A2168" s="36" t="str">
        <f>VLOOKUP($C2168,'Variable Information'!$A$2:$E$480,5,FALSE)</f>
        <v>AJR_drm_res_4_b</v>
      </c>
      <c r="B2168" s="36" t="str">
        <f>VLOOKUP($C2168,'Variable Information'!$A$1:$C$480,3,FALSE)</f>
        <v>Q29_2_iter04_b. Agree / disagree - I could have appealed the decision/outcome</v>
      </c>
      <c r="C2168" s="35" t="s">
        <v>1199</v>
      </c>
      <c r="D2168" s="30" t="s">
        <v>1447</v>
      </c>
      <c r="E2168" s="15" t="s">
        <v>1675</v>
      </c>
    </row>
    <row r="2169" spans="1:5" x14ac:dyDescent="0.25">
      <c r="A2169" s="36" t="e">
        <f>VLOOKUP($C2169,'Variable Information'!$A$2:$E$480,5,FALSE)</f>
        <v>#N/A</v>
      </c>
      <c r="B2169" s="36" t="e">
        <f>VLOOKUP($C2169,'Variable Information'!$A$1:$C$480,3,FALSE)</f>
        <v>#N/A</v>
      </c>
      <c r="C2169" s="35"/>
      <c r="D2169" s="30" t="s">
        <v>1449</v>
      </c>
      <c r="E2169" s="15" t="s">
        <v>1676</v>
      </c>
    </row>
    <row r="2170" spans="1:5" x14ac:dyDescent="0.25">
      <c r="A2170" s="36" t="e">
        <f>VLOOKUP($C2170,'Variable Information'!$A$2:$E$480,5,FALSE)</f>
        <v>#N/A</v>
      </c>
      <c r="B2170" s="36" t="e">
        <f>VLOOKUP($C2170,'Variable Information'!$A$1:$C$480,3,FALSE)</f>
        <v>#N/A</v>
      </c>
      <c r="C2170" s="35"/>
      <c r="D2170" s="30" t="s">
        <v>1451</v>
      </c>
      <c r="E2170" s="15" t="s">
        <v>1669</v>
      </c>
    </row>
    <row r="2171" spans="1:5" x14ac:dyDescent="0.25">
      <c r="A2171" s="36" t="e">
        <f>VLOOKUP($C2171,'Variable Information'!$A$2:$E$480,5,FALSE)</f>
        <v>#N/A</v>
      </c>
      <c r="B2171" s="36" t="e">
        <f>VLOOKUP($C2171,'Variable Information'!$A$1:$C$480,3,FALSE)</f>
        <v>#N/A</v>
      </c>
      <c r="C2171" s="35"/>
      <c r="D2171" s="30" t="s">
        <v>1456</v>
      </c>
      <c r="E2171" s="15" t="s">
        <v>1678</v>
      </c>
    </row>
    <row r="2172" spans="1:5" x14ac:dyDescent="0.25">
      <c r="A2172" s="36" t="str">
        <f>VLOOKUP($C2172,'Variable Information'!$A$2:$E$480,5,FALSE)</f>
        <v>AJR_drm_res_4_c</v>
      </c>
      <c r="B2172" s="36" t="str">
        <f>VLOOKUP($C2172,'Variable Information'!$A$1:$C$480,3,FALSE)</f>
        <v>Q29_2_iter04_c. Agree / disagree - I was represented by a lawyer</v>
      </c>
      <c r="C2172" s="35" t="s">
        <v>1202</v>
      </c>
      <c r="D2172" s="30" t="s">
        <v>1447</v>
      </c>
      <c r="E2172" s="15" t="s">
        <v>1675</v>
      </c>
    </row>
    <row r="2173" spans="1:5" x14ac:dyDescent="0.25">
      <c r="A2173" s="36" t="e">
        <f>VLOOKUP($C2173,'Variable Information'!$A$2:$E$480,5,FALSE)</f>
        <v>#N/A</v>
      </c>
      <c r="B2173" s="36" t="e">
        <f>VLOOKUP($C2173,'Variable Information'!$A$1:$C$480,3,FALSE)</f>
        <v>#N/A</v>
      </c>
      <c r="C2173" s="35"/>
      <c r="D2173" s="30" t="s">
        <v>1449</v>
      </c>
      <c r="E2173" s="15" t="s">
        <v>1676</v>
      </c>
    </row>
    <row r="2174" spans="1:5" x14ac:dyDescent="0.25">
      <c r="A2174" s="36" t="e">
        <f>VLOOKUP($C2174,'Variable Information'!$A$2:$E$480,5,FALSE)</f>
        <v>#N/A</v>
      </c>
      <c r="B2174" s="36" t="e">
        <f>VLOOKUP($C2174,'Variable Information'!$A$1:$C$480,3,FALSE)</f>
        <v>#N/A</v>
      </c>
      <c r="C2174" s="35"/>
      <c r="D2174" s="30" t="s">
        <v>1451</v>
      </c>
      <c r="E2174" s="15" t="s">
        <v>1669</v>
      </c>
    </row>
    <row r="2175" spans="1:5" x14ac:dyDescent="0.25">
      <c r="A2175" s="36" t="e">
        <f>VLOOKUP($C2175,'Variable Information'!$A$2:$E$480,5,FALSE)</f>
        <v>#N/A</v>
      </c>
      <c r="B2175" s="36" t="e">
        <f>VLOOKUP($C2175,'Variable Information'!$A$1:$C$480,3,FALSE)</f>
        <v>#N/A</v>
      </c>
      <c r="C2175" s="35"/>
      <c r="D2175" s="30" t="s">
        <v>1456</v>
      </c>
      <c r="E2175" s="15" t="s">
        <v>1678</v>
      </c>
    </row>
    <row r="2176" spans="1:5" x14ac:dyDescent="0.25">
      <c r="A2176" s="36" t="str">
        <f>VLOOKUP($C2176,'Variable Information'!$A$2:$E$480,5,FALSE)</f>
        <v>AJR_drm_res_4_d</v>
      </c>
      <c r="B2176" s="36" t="str">
        <f>VLOOKUP($C2176,'Variable Information'!$A$1:$C$480,3,FALSE)</f>
        <v>Q29_2_iter04_d. Agree / disagree - I was represented by another advisor, person or organisation</v>
      </c>
      <c r="C2176" s="35" t="s">
        <v>1205</v>
      </c>
      <c r="D2176" s="30" t="s">
        <v>1447</v>
      </c>
      <c r="E2176" s="15" t="s">
        <v>1675</v>
      </c>
    </row>
    <row r="2177" spans="1:5" x14ac:dyDescent="0.25">
      <c r="A2177" s="36" t="e">
        <f>VLOOKUP($C2177,'Variable Information'!$A$2:$E$480,5,FALSE)</f>
        <v>#N/A</v>
      </c>
      <c r="B2177" s="36" t="e">
        <f>VLOOKUP($C2177,'Variable Information'!$A$1:$C$480,3,FALSE)</f>
        <v>#N/A</v>
      </c>
      <c r="C2177" s="35"/>
      <c r="D2177" s="30" t="s">
        <v>1449</v>
      </c>
      <c r="E2177" s="15" t="s">
        <v>1676</v>
      </c>
    </row>
    <row r="2178" spans="1:5" x14ac:dyDescent="0.25">
      <c r="A2178" s="36" t="e">
        <f>VLOOKUP($C2178,'Variable Information'!$A$2:$E$480,5,FALSE)</f>
        <v>#N/A</v>
      </c>
      <c r="B2178" s="36" t="e">
        <f>VLOOKUP($C2178,'Variable Information'!$A$1:$C$480,3,FALSE)</f>
        <v>#N/A</v>
      </c>
      <c r="C2178" s="35"/>
      <c r="D2178" s="30" t="s">
        <v>1451</v>
      </c>
      <c r="E2178" s="15" t="s">
        <v>1669</v>
      </c>
    </row>
    <row r="2179" spans="1:5" x14ac:dyDescent="0.25">
      <c r="A2179" s="36" t="e">
        <f>VLOOKUP($C2179,'Variable Information'!$A$2:$E$480,5,FALSE)</f>
        <v>#N/A</v>
      </c>
      <c r="B2179" s="36" t="e">
        <f>VLOOKUP($C2179,'Variable Information'!$A$1:$C$480,3,FALSE)</f>
        <v>#N/A</v>
      </c>
      <c r="C2179" s="35"/>
      <c r="D2179" s="30" t="s">
        <v>1456</v>
      </c>
      <c r="E2179" s="15" t="s">
        <v>1678</v>
      </c>
    </row>
    <row r="2180" spans="1:5" x14ac:dyDescent="0.25">
      <c r="A2180" s="36" t="str">
        <f>VLOOKUP($C2180,'Variable Information'!$A$2:$E$480,5,FALSE)</f>
        <v>AJR_drm_res_5_a</v>
      </c>
      <c r="B2180" s="36" t="str">
        <f>VLOOKUP($C2180,'Variable Information'!$A$1:$C$480,3,FALSE)</f>
        <v>Q29_2_iter05_a. Agree / disagree - I received the decision/outcome of the process in writing</v>
      </c>
      <c r="C2180" s="35" t="s">
        <v>1208</v>
      </c>
      <c r="D2180" s="30" t="s">
        <v>1447</v>
      </c>
      <c r="E2180" s="15" t="s">
        <v>1675</v>
      </c>
    </row>
    <row r="2181" spans="1:5" x14ac:dyDescent="0.25">
      <c r="A2181" s="36" t="e">
        <f>VLOOKUP($C2181,'Variable Information'!$A$2:$E$480,5,FALSE)</f>
        <v>#N/A</v>
      </c>
      <c r="B2181" s="36" t="e">
        <f>VLOOKUP($C2181,'Variable Information'!$A$1:$C$480,3,FALSE)</f>
        <v>#N/A</v>
      </c>
      <c r="C2181" s="35"/>
      <c r="D2181" s="30" t="s">
        <v>1449</v>
      </c>
      <c r="E2181" s="15" t="s">
        <v>1676</v>
      </c>
    </row>
    <row r="2182" spans="1:5" x14ac:dyDescent="0.25">
      <c r="A2182" s="36" t="e">
        <f>VLOOKUP($C2182,'Variable Information'!$A$2:$E$480,5,FALSE)</f>
        <v>#N/A</v>
      </c>
      <c r="B2182" s="36" t="e">
        <f>VLOOKUP($C2182,'Variable Information'!$A$1:$C$480,3,FALSE)</f>
        <v>#N/A</v>
      </c>
      <c r="C2182" s="35"/>
      <c r="D2182" s="30" t="s">
        <v>1451</v>
      </c>
      <c r="E2182" s="15" t="s">
        <v>1669</v>
      </c>
    </row>
    <row r="2183" spans="1:5" x14ac:dyDescent="0.25">
      <c r="A2183" s="36" t="e">
        <f>VLOOKUP($C2183,'Variable Information'!$A$2:$E$480,5,FALSE)</f>
        <v>#N/A</v>
      </c>
      <c r="B2183" s="36" t="e">
        <f>VLOOKUP($C2183,'Variable Information'!$A$1:$C$480,3,FALSE)</f>
        <v>#N/A</v>
      </c>
      <c r="C2183" s="35"/>
      <c r="D2183" s="30" t="s">
        <v>1456</v>
      </c>
      <c r="E2183" s="15" t="s">
        <v>1678</v>
      </c>
    </row>
    <row r="2184" spans="1:5" x14ac:dyDescent="0.25">
      <c r="A2184" s="36" t="str">
        <f>VLOOKUP($C2184,'Variable Information'!$A$2:$E$480,5,FALSE)</f>
        <v>AJR_drm_res_5_b</v>
      </c>
      <c r="B2184" s="36" t="str">
        <f>VLOOKUP($C2184,'Variable Information'!$A$1:$C$480,3,FALSE)</f>
        <v>Q29_2_iter05_b. Agree / disagree - I could have appealed the decision/outcome</v>
      </c>
      <c r="C2184" s="35" t="s">
        <v>1211</v>
      </c>
      <c r="D2184" s="30" t="s">
        <v>1447</v>
      </c>
      <c r="E2184" s="15" t="s">
        <v>1675</v>
      </c>
    </row>
    <row r="2185" spans="1:5" x14ac:dyDescent="0.25">
      <c r="A2185" s="36" t="e">
        <f>VLOOKUP($C2185,'Variable Information'!$A$2:$E$480,5,FALSE)</f>
        <v>#N/A</v>
      </c>
      <c r="B2185" s="36" t="e">
        <f>VLOOKUP($C2185,'Variable Information'!$A$1:$C$480,3,FALSE)</f>
        <v>#N/A</v>
      </c>
      <c r="C2185" s="35"/>
      <c r="D2185" s="30" t="s">
        <v>1449</v>
      </c>
      <c r="E2185" s="15" t="s">
        <v>1676</v>
      </c>
    </row>
    <row r="2186" spans="1:5" x14ac:dyDescent="0.25">
      <c r="A2186" s="36" t="e">
        <f>VLOOKUP($C2186,'Variable Information'!$A$2:$E$480,5,FALSE)</f>
        <v>#N/A</v>
      </c>
      <c r="B2186" s="36" t="e">
        <f>VLOOKUP($C2186,'Variable Information'!$A$1:$C$480,3,FALSE)</f>
        <v>#N/A</v>
      </c>
      <c r="C2186" s="35"/>
      <c r="D2186" s="30" t="s">
        <v>1451</v>
      </c>
      <c r="E2186" s="15" t="s">
        <v>1669</v>
      </c>
    </row>
    <row r="2187" spans="1:5" x14ac:dyDescent="0.25">
      <c r="A2187" s="36" t="e">
        <f>VLOOKUP($C2187,'Variable Information'!$A$2:$E$480,5,FALSE)</f>
        <v>#N/A</v>
      </c>
      <c r="B2187" s="36" t="e">
        <f>VLOOKUP($C2187,'Variable Information'!$A$1:$C$480,3,FALSE)</f>
        <v>#N/A</v>
      </c>
      <c r="C2187" s="35"/>
      <c r="D2187" s="30" t="s">
        <v>1456</v>
      </c>
      <c r="E2187" s="15" t="s">
        <v>1678</v>
      </c>
    </row>
    <row r="2188" spans="1:5" x14ac:dyDescent="0.25">
      <c r="A2188" s="36" t="str">
        <f>VLOOKUP($C2188,'Variable Information'!$A$2:$E$480,5,FALSE)</f>
        <v>AJR_drm_res_5_c</v>
      </c>
      <c r="B2188" s="36" t="str">
        <f>VLOOKUP($C2188,'Variable Information'!$A$1:$C$480,3,FALSE)</f>
        <v>Q29_2_iter05_c. Agree / disagree - I was represented by a lawyer</v>
      </c>
      <c r="C2188" s="35" t="s">
        <v>1214</v>
      </c>
      <c r="D2188" s="30" t="s">
        <v>1447</v>
      </c>
      <c r="E2188" s="15" t="s">
        <v>1675</v>
      </c>
    </row>
    <row r="2189" spans="1:5" x14ac:dyDescent="0.25">
      <c r="A2189" s="36" t="e">
        <f>VLOOKUP($C2189,'Variable Information'!$A$2:$E$480,5,FALSE)</f>
        <v>#N/A</v>
      </c>
      <c r="B2189" s="36" t="e">
        <f>VLOOKUP($C2189,'Variable Information'!$A$1:$C$480,3,FALSE)</f>
        <v>#N/A</v>
      </c>
      <c r="C2189" s="35"/>
      <c r="D2189" s="30" t="s">
        <v>1449</v>
      </c>
      <c r="E2189" s="15" t="s">
        <v>1676</v>
      </c>
    </row>
    <row r="2190" spans="1:5" x14ac:dyDescent="0.25">
      <c r="A2190" s="36" t="e">
        <f>VLOOKUP($C2190,'Variable Information'!$A$2:$E$480,5,FALSE)</f>
        <v>#N/A</v>
      </c>
      <c r="B2190" s="36" t="e">
        <f>VLOOKUP($C2190,'Variable Information'!$A$1:$C$480,3,FALSE)</f>
        <v>#N/A</v>
      </c>
      <c r="C2190" s="35"/>
      <c r="D2190" s="30" t="s">
        <v>1451</v>
      </c>
      <c r="E2190" s="15" t="s">
        <v>1669</v>
      </c>
    </row>
    <row r="2191" spans="1:5" x14ac:dyDescent="0.25">
      <c r="A2191" s="36" t="e">
        <f>VLOOKUP($C2191,'Variable Information'!$A$2:$E$480,5,FALSE)</f>
        <v>#N/A</v>
      </c>
      <c r="B2191" s="36" t="e">
        <f>VLOOKUP($C2191,'Variable Information'!$A$1:$C$480,3,FALSE)</f>
        <v>#N/A</v>
      </c>
      <c r="C2191" s="35"/>
      <c r="D2191" s="30" t="s">
        <v>1456</v>
      </c>
      <c r="E2191" s="15" t="s">
        <v>1678</v>
      </c>
    </row>
    <row r="2192" spans="1:5" x14ac:dyDescent="0.25">
      <c r="A2192" s="36" t="str">
        <f>VLOOKUP($C2192,'Variable Information'!$A$2:$E$480,5,FALSE)</f>
        <v>AJR_drm_res_5_d</v>
      </c>
      <c r="B2192" s="36" t="str">
        <f>VLOOKUP($C2192,'Variable Information'!$A$1:$C$480,3,FALSE)</f>
        <v>Q29_2_iter05_d. Agree / disagree - I was represented by another advisor, person or organisation</v>
      </c>
      <c r="C2192" s="35" t="s">
        <v>1217</v>
      </c>
      <c r="D2192" s="30" t="s">
        <v>1447</v>
      </c>
      <c r="E2192" s="15" t="s">
        <v>1675</v>
      </c>
    </row>
    <row r="2193" spans="1:5" x14ac:dyDescent="0.25">
      <c r="A2193" s="36" t="e">
        <f>VLOOKUP($C2193,'Variable Information'!$A$2:$E$480,5,FALSE)</f>
        <v>#N/A</v>
      </c>
      <c r="B2193" s="36" t="e">
        <f>VLOOKUP($C2193,'Variable Information'!$A$1:$C$480,3,FALSE)</f>
        <v>#N/A</v>
      </c>
      <c r="C2193" s="35"/>
      <c r="D2193" s="30" t="s">
        <v>1449</v>
      </c>
      <c r="E2193" s="15" t="s">
        <v>1676</v>
      </c>
    </row>
    <row r="2194" spans="1:5" x14ac:dyDescent="0.25">
      <c r="A2194" s="36" t="e">
        <f>VLOOKUP($C2194,'Variable Information'!$A$2:$E$480,5,FALSE)</f>
        <v>#N/A</v>
      </c>
      <c r="B2194" s="36" t="e">
        <f>VLOOKUP($C2194,'Variable Information'!$A$1:$C$480,3,FALSE)</f>
        <v>#N/A</v>
      </c>
      <c r="C2194" s="35"/>
      <c r="D2194" s="30" t="s">
        <v>1451</v>
      </c>
      <c r="E2194" s="15" t="s">
        <v>1669</v>
      </c>
    </row>
    <row r="2195" spans="1:5" x14ac:dyDescent="0.25">
      <c r="A2195" s="36" t="e">
        <f>VLOOKUP($C2195,'Variable Information'!$A$2:$E$480,5,FALSE)</f>
        <v>#N/A</v>
      </c>
      <c r="B2195" s="36" t="e">
        <f>VLOOKUP($C2195,'Variable Information'!$A$1:$C$480,3,FALSE)</f>
        <v>#N/A</v>
      </c>
      <c r="C2195" s="35"/>
      <c r="D2195" s="30" t="s">
        <v>1456</v>
      </c>
      <c r="E2195" s="15" t="s">
        <v>1678</v>
      </c>
    </row>
    <row r="2196" spans="1:5" x14ac:dyDescent="0.25">
      <c r="A2196" s="36" t="str">
        <f>VLOOKUP($C2196,'Variable Information'!$A$2:$E$480,5,FALSE)</f>
        <v>AJR_drm_res_6_a</v>
      </c>
      <c r="B2196" s="36" t="str">
        <f>VLOOKUP($C2196,'Variable Information'!$A$1:$C$480,3,FALSE)</f>
        <v>Q29_2_iter06_a. Agree / disagree - I received the decision/outcome of the process in writing</v>
      </c>
      <c r="C2196" s="35" t="s">
        <v>1220</v>
      </c>
      <c r="D2196" s="30" t="s">
        <v>1447</v>
      </c>
      <c r="E2196" s="15" t="s">
        <v>1675</v>
      </c>
    </row>
    <row r="2197" spans="1:5" x14ac:dyDescent="0.25">
      <c r="A2197" s="36" t="e">
        <f>VLOOKUP($C2197,'Variable Information'!$A$2:$E$480,5,FALSE)</f>
        <v>#N/A</v>
      </c>
      <c r="B2197" s="36" t="e">
        <f>VLOOKUP($C2197,'Variable Information'!$A$1:$C$480,3,FALSE)</f>
        <v>#N/A</v>
      </c>
      <c r="C2197" s="35"/>
      <c r="D2197" s="30" t="s">
        <v>1449</v>
      </c>
      <c r="E2197" s="15" t="s">
        <v>1676</v>
      </c>
    </row>
    <row r="2198" spans="1:5" x14ac:dyDescent="0.25">
      <c r="A2198" s="36" t="e">
        <f>VLOOKUP($C2198,'Variable Information'!$A$2:$E$480,5,FALSE)</f>
        <v>#N/A</v>
      </c>
      <c r="B2198" s="36" t="e">
        <f>VLOOKUP($C2198,'Variable Information'!$A$1:$C$480,3,FALSE)</f>
        <v>#N/A</v>
      </c>
      <c r="C2198" s="35"/>
      <c r="D2198" s="30" t="s">
        <v>1451</v>
      </c>
      <c r="E2198" s="15" t="s">
        <v>1669</v>
      </c>
    </row>
    <row r="2199" spans="1:5" x14ac:dyDescent="0.25">
      <c r="A2199" s="36" t="e">
        <f>VLOOKUP($C2199,'Variable Information'!$A$2:$E$480,5,FALSE)</f>
        <v>#N/A</v>
      </c>
      <c r="B2199" s="36" t="e">
        <f>VLOOKUP($C2199,'Variable Information'!$A$1:$C$480,3,FALSE)</f>
        <v>#N/A</v>
      </c>
      <c r="C2199" s="35"/>
      <c r="D2199" s="30" t="s">
        <v>1456</v>
      </c>
      <c r="E2199" s="15" t="s">
        <v>1678</v>
      </c>
    </row>
    <row r="2200" spans="1:5" x14ac:dyDescent="0.25">
      <c r="A2200" s="36" t="str">
        <f>VLOOKUP($C2200,'Variable Information'!$A$2:$E$480,5,FALSE)</f>
        <v>AJR_drm_res_6_b</v>
      </c>
      <c r="B2200" s="36" t="str">
        <f>VLOOKUP($C2200,'Variable Information'!$A$1:$C$480,3,FALSE)</f>
        <v>Q29_2_iter06_b. Agree / disagree - I could have appealed the decision/outcome</v>
      </c>
      <c r="C2200" s="35" t="s">
        <v>1223</v>
      </c>
      <c r="D2200" s="30" t="s">
        <v>1447</v>
      </c>
      <c r="E2200" s="15" t="s">
        <v>1675</v>
      </c>
    </row>
    <row r="2201" spans="1:5" x14ac:dyDescent="0.25">
      <c r="A2201" s="36" t="e">
        <f>VLOOKUP($C2201,'Variable Information'!$A$2:$E$480,5,FALSE)</f>
        <v>#N/A</v>
      </c>
      <c r="B2201" s="36" t="e">
        <f>VLOOKUP($C2201,'Variable Information'!$A$1:$C$480,3,FALSE)</f>
        <v>#N/A</v>
      </c>
      <c r="C2201" s="35"/>
      <c r="D2201" s="30" t="s">
        <v>1449</v>
      </c>
      <c r="E2201" s="15" t="s">
        <v>1676</v>
      </c>
    </row>
    <row r="2202" spans="1:5" x14ac:dyDescent="0.25">
      <c r="A2202" s="36" t="e">
        <f>VLOOKUP($C2202,'Variable Information'!$A$2:$E$480,5,FALSE)</f>
        <v>#N/A</v>
      </c>
      <c r="B2202" s="36" t="e">
        <f>VLOOKUP($C2202,'Variable Information'!$A$1:$C$480,3,FALSE)</f>
        <v>#N/A</v>
      </c>
      <c r="C2202" s="35"/>
      <c r="D2202" s="30" t="s">
        <v>1451</v>
      </c>
      <c r="E2202" s="15" t="s">
        <v>1669</v>
      </c>
    </row>
    <row r="2203" spans="1:5" x14ac:dyDescent="0.25">
      <c r="A2203" s="36" t="e">
        <f>VLOOKUP($C2203,'Variable Information'!$A$2:$E$480,5,FALSE)</f>
        <v>#N/A</v>
      </c>
      <c r="B2203" s="36" t="e">
        <f>VLOOKUP($C2203,'Variable Information'!$A$1:$C$480,3,FALSE)</f>
        <v>#N/A</v>
      </c>
      <c r="C2203" s="35"/>
      <c r="D2203" s="30" t="s">
        <v>1456</v>
      </c>
      <c r="E2203" s="15" t="s">
        <v>1678</v>
      </c>
    </row>
    <row r="2204" spans="1:5" x14ac:dyDescent="0.25">
      <c r="A2204" s="36" t="str">
        <f>VLOOKUP($C2204,'Variable Information'!$A$2:$E$480,5,FALSE)</f>
        <v>AJR_drm_res_6_c</v>
      </c>
      <c r="B2204" s="36" t="str">
        <f>VLOOKUP($C2204,'Variable Information'!$A$1:$C$480,3,FALSE)</f>
        <v>Q29_2_iter06_c. Agree / disagree - I was represented by a lawyer</v>
      </c>
      <c r="C2204" s="35" t="s">
        <v>1226</v>
      </c>
      <c r="D2204" s="30" t="s">
        <v>1447</v>
      </c>
      <c r="E2204" s="15" t="s">
        <v>1675</v>
      </c>
    </row>
    <row r="2205" spans="1:5" x14ac:dyDescent="0.25">
      <c r="A2205" s="36" t="e">
        <f>VLOOKUP($C2205,'Variable Information'!$A$2:$E$480,5,FALSE)</f>
        <v>#N/A</v>
      </c>
      <c r="B2205" s="36" t="e">
        <f>VLOOKUP($C2205,'Variable Information'!$A$1:$C$480,3,FALSE)</f>
        <v>#N/A</v>
      </c>
      <c r="C2205" s="35"/>
      <c r="D2205" s="30" t="s">
        <v>1449</v>
      </c>
      <c r="E2205" s="15" t="s">
        <v>1676</v>
      </c>
    </row>
    <row r="2206" spans="1:5" x14ac:dyDescent="0.25">
      <c r="A2206" s="36" t="e">
        <f>VLOOKUP($C2206,'Variable Information'!$A$2:$E$480,5,FALSE)</f>
        <v>#N/A</v>
      </c>
      <c r="B2206" s="36" t="e">
        <f>VLOOKUP($C2206,'Variable Information'!$A$1:$C$480,3,FALSE)</f>
        <v>#N/A</v>
      </c>
      <c r="C2206" s="35"/>
      <c r="D2206" s="30" t="s">
        <v>1451</v>
      </c>
      <c r="E2206" s="15" t="s">
        <v>1669</v>
      </c>
    </row>
    <row r="2207" spans="1:5" x14ac:dyDescent="0.25">
      <c r="A2207" s="36" t="e">
        <f>VLOOKUP($C2207,'Variable Information'!$A$2:$E$480,5,FALSE)</f>
        <v>#N/A</v>
      </c>
      <c r="B2207" s="36" t="e">
        <f>VLOOKUP($C2207,'Variable Information'!$A$1:$C$480,3,FALSE)</f>
        <v>#N/A</v>
      </c>
      <c r="C2207" s="35"/>
      <c r="D2207" s="30" t="s">
        <v>1456</v>
      </c>
      <c r="E2207" s="15" t="s">
        <v>1678</v>
      </c>
    </row>
    <row r="2208" spans="1:5" x14ac:dyDescent="0.25">
      <c r="A2208" s="36" t="str">
        <f>VLOOKUP($C2208,'Variable Information'!$A$2:$E$480,5,FALSE)</f>
        <v>AJR_drm_res_6_d</v>
      </c>
      <c r="B2208" s="36" t="str">
        <f>VLOOKUP($C2208,'Variable Information'!$A$1:$C$480,3,FALSE)</f>
        <v>Q29_2_iter06_d. Agree / disagree - I was represented by another advisor, person or organisation</v>
      </c>
      <c r="C2208" s="35" t="s">
        <v>1229</v>
      </c>
      <c r="D2208" s="30" t="s">
        <v>1447</v>
      </c>
      <c r="E2208" s="15" t="s">
        <v>1675</v>
      </c>
    </row>
    <row r="2209" spans="1:5" x14ac:dyDescent="0.25">
      <c r="A2209" s="36" t="e">
        <f>VLOOKUP($C2209,'Variable Information'!$A$2:$E$480,5,FALSE)</f>
        <v>#N/A</v>
      </c>
      <c r="B2209" s="36" t="e">
        <f>VLOOKUP($C2209,'Variable Information'!$A$1:$C$480,3,FALSE)</f>
        <v>#N/A</v>
      </c>
      <c r="C2209" s="35"/>
      <c r="D2209" s="30" t="s">
        <v>1449</v>
      </c>
      <c r="E2209" s="15" t="s">
        <v>1676</v>
      </c>
    </row>
    <row r="2210" spans="1:5" x14ac:dyDescent="0.25">
      <c r="A2210" s="36" t="e">
        <f>VLOOKUP($C2210,'Variable Information'!$A$2:$E$480,5,FALSE)</f>
        <v>#N/A</v>
      </c>
      <c r="B2210" s="36" t="e">
        <f>VLOOKUP($C2210,'Variable Information'!$A$1:$C$480,3,FALSE)</f>
        <v>#N/A</v>
      </c>
      <c r="C2210" s="35"/>
      <c r="D2210" s="30" t="s">
        <v>1451</v>
      </c>
      <c r="E2210" s="15" t="s">
        <v>1669</v>
      </c>
    </row>
    <row r="2211" spans="1:5" x14ac:dyDescent="0.25">
      <c r="A2211" s="36" t="e">
        <f>VLOOKUP($C2211,'Variable Information'!$A$2:$E$480,5,FALSE)</f>
        <v>#N/A</v>
      </c>
      <c r="B2211" s="36" t="e">
        <f>VLOOKUP($C2211,'Variable Information'!$A$1:$C$480,3,FALSE)</f>
        <v>#N/A</v>
      </c>
      <c r="C2211" s="35"/>
      <c r="D2211" s="30" t="s">
        <v>1456</v>
      </c>
      <c r="E2211" s="15" t="s">
        <v>1678</v>
      </c>
    </row>
    <row r="2212" spans="1:5" x14ac:dyDescent="0.25">
      <c r="A2212" s="36" t="str">
        <f>VLOOKUP($C2212,'Variable Information'!$A$2:$E$480,5,FALSE)</f>
        <v>AJR_drm_res_7_a</v>
      </c>
      <c r="B2212" s="36" t="str">
        <f>VLOOKUP($C2212,'Variable Information'!$A$1:$C$480,3,FALSE)</f>
        <v>Q29_2_iter07_a. Agree / disagree - I received the decision/outcome of the process in writing</v>
      </c>
      <c r="C2212" s="35" t="s">
        <v>1232</v>
      </c>
      <c r="D2212" s="30" t="s">
        <v>1447</v>
      </c>
      <c r="E2212" s="15" t="s">
        <v>1675</v>
      </c>
    </row>
    <row r="2213" spans="1:5" x14ac:dyDescent="0.25">
      <c r="A2213" s="36" t="e">
        <f>VLOOKUP($C2213,'Variable Information'!$A$2:$E$480,5,FALSE)</f>
        <v>#N/A</v>
      </c>
      <c r="B2213" s="36" t="e">
        <f>VLOOKUP($C2213,'Variable Information'!$A$1:$C$480,3,FALSE)</f>
        <v>#N/A</v>
      </c>
      <c r="C2213" s="35"/>
      <c r="D2213" s="30" t="s">
        <v>1449</v>
      </c>
      <c r="E2213" s="15" t="s">
        <v>1676</v>
      </c>
    </row>
    <row r="2214" spans="1:5" x14ac:dyDescent="0.25">
      <c r="A2214" s="36" t="e">
        <f>VLOOKUP($C2214,'Variable Information'!$A$2:$E$480,5,FALSE)</f>
        <v>#N/A</v>
      </c>
      <c r="B2214" s="36" t="e">
        <f>VLOOKUP($C2214,'Variable Information'!$A$1:$C$480,3,FALSE)</f>
        <v>#N/A</v>
      </c>
      <c r="C2214" s="35"/>
      <c r="D2214" s="30" t="s">
        <v>1451</v>
      </c>
      <c r="E2214" s="15" t="s">
        <v>1669</v>
      </c>
    </row>
    <row r="2215" spans="1:5" x14ac:dyDescent="0.25">
      <c r="A2215" s="36" t="e">
        <f>VLOOKUP($C2215,'Variable Information'!$A$2:$E$480,5,FALSE)</f>
        <v>#N/A</v>
      </c>
      <c r="B2215" s="36" t="e">
        <f>VLOOKUP($C2215,'Variable Information'!$A$1:$C$480,3,FALSE)</f>
        <v>#N/A</v>
      </c>
      <c r="C2215" s="35"/>
      <c r="D2215" s="30" t="s">
        <v>1456</v>
      </c>
      <c r="E2215" s="15" t="s">
        <v>1678</v>
      </c>
    </row>
    <row r="2216" spans="1:5" x14ac:dyDescent="0.25">
      <c r="A2216" s="36" t="str">
        <f>VLOOKUP($C2216,'Variable Information'!$A$2:$E$480,5,FALSE)</f>
        <v>AJR_drm_res_7_b</v>
      </c>
      <c r="B2216" s="36" t="str">
        <f>VLOOKUP($C2216,'Variable Information'!$A$1:$C$480,3,FALSE)</f>
        <v>Q29_2_iter07_b. Agree / disagree - I could have appealed the decision/outcome</v>
      </c>
      <c r="C2216" s="35" t="s">
        <v>1235</v>
      </c>
      <c r="D2216" s="30" t="s">
        <v>1447</v>
      </c>
      <c r="E2216" s="15" t="s">
        <v>1675</v>
      </c>
    </row>
    <row r="2217" spans="1:5" x14ac:dyDescent="0.25">
      <c r="A2217" s="36" t="e">
        <f>VLOOKUP($C2217,'Variable Information'!$A$2:$E$480,5,FALSE)</f>
        <v>#N/A</v>
      </c>
      <c r="B2217" s="36" t="e">
        <f>VLOOKUP($C2217,'Variable Information'!$A$1:$C$480,3,FALSE)</f>
        <v>#N/A</v>
      </c>
      <c r="C2217" s="35"/>
      <c r="D2217" s="30" t="s">
        <v>1449</v>
      </c>
      <c r="E2217" s="15" t="s">
        <v>1676</v>
      </c>
    </row>
    <row r="2218" spans="1:5" x14ac:dyDescent="0.25">
      <c r="A2218" s="36" t="e">
        <f>VLOOKUP($C2218,'Variable Information'!$A$2:$E$480,5,FALSE)</f>
        <v>#N/A</v>
      </c>
      <c r="B2218" s="36" t="e">
        <f>VLOOKUP($C2218,'Variable Information'!$A$1:$C$480,3,FALSE)</f>
        <v>#N/A</v>
      </c>
      <c r="C2218" s="35"/>
      <c r="D2218" s="30" t="s">
        <v>1451</v>
      </c>
      <c r="E2218" s="15" t="s">
        <v>1669</v>
      </c>
    </row>
    <row r="2219" spans="1:5" x14ac:dyDescent="0.25">
      <c r="A2219" s="36" t="e">
        <f>VLOOKUP($C2219,'Variable Information'!$A$2:$E$480,5,FALSE)</f>
        <v>#N/A</v>
      </c>
      <c r="B2219" s="36" t="e">
        <f>VLOOKUP($C2219,'Variable Information'!$A$1:$C$480,3,FALSE)</f>
        <v>#N/A</v>
      </c>
      <c r="C2219" s="35"/>
      <c r="D2219" s="30" t="s">
        <v>1456</v>
      </c>
      <c r="E2219" s="15" t="s">
        <v>1678</v>
      </c>
    </row>
    <row r="2220" spans="1:5" x14ac:dyDescent="0.25">
      <c r="A2220" s="36" t="str">
        <f>VLOOKUP($C2220,'Variable Information'!$A$2:$E$480,5,FALSE)</f>
        <v>AJR_drm_res_7_c</v>
      </c>
      <c r="B2220" s="36" t="str">
        <f>VLOOKUP($C2220,'Variable Information'!$A$1:$C$480,3,FALSE)</f>
        <v>Q29_2_iter07_c. Agree / disagree - I was represented by a lawyer</v>
      </c>
      <c r="C2220" s="35" t="s">
        <v>1238</v>
      </c>
      <c r="D2220" s="30" t="s">
        <v>1447</v>
      </c>
      <c r="E2220" s="15" t="s">
        <v>1675</v>
      </c>
    </row>
    <row r="2221" spans="1:5" x14ac:dyDescent="0.25">
      <c r="A2221" s="36" t="e">
        <f>VLOOKUP($C2221,'Variable Information'!$A$2:$E$480,5,FALSE)</f>
        <v>#N/A</v>
      </c>
      <c r="B2221" s="36" t="e">
        <f>VLOOKUP($C2221,'Variable Information'!$A$1:$C$480,3,FALSE)</f>
        <v>#N/A</v>
      </c>
      <c r="C2221" s="35"/>
      <c r="D2221" s="30" t="s">
        <v>1449</v>
      </c>
      <c r="E2221" s="15" t="s">
        <v>1676</v>
      </c>
    </row>
    <row r="2222" spans="1:5" x14ac:dyDescent="0.25">
      <c r="A2222" s="36" t="e">
        <f>VLOOKUP($C2222,'Variable Information'!$A$2:$E$480,5,FALSE)</f>
        <v>#N/A</v>
      </c>
      <c r="B2222" s="36" t="e">
        <f>VLOOKUP($C2222,'Variable Information'!$A$1:$C$480,3,FALSE)</f>
        <v>#N/A</v>
      </c>
      <c r="C2222" s="35"/>
      <c r="D2222" s="30" t="s">
        <v>1451</v>
      </c>
      <c r="E2222" s="15" t="s">
        <v>1669</v>
      </c>
    </row>
    <row r="2223" spans="1:5" x14ac:dyDescent="0.25">
      <c r="A2223" s="36" t="e">
        <f>VLOOKUP($C2223,'Variable Information'!$A$2:$E$480,5,FALSE)</f>
        <v>#N/A</v>
      </c>
      <c r="B2223" s="36" t="e">
        <f>VLOOKUP($C2223,'Variable Information'!$A$1:$C$480,3,FALSE)</f>
        <v>#N/A</v>
      </c>
      <c r="C2223" s="35"/>
      <c r="D2223" s="30" t="s">
        <v>1456</v>
      </c>
      <c r="E2223" s="15" t="s">
        <v>1678</v>
      </c>
    </row>
    <row r="2224" spans="1:5" x14ac:dyDescent="0.25">
      <c r="A2224" s="36" t="str">
        <f>VLOOKUP($C2224,'Variable Information'!$A$2:$E$480,5,FALSE)</f>
        <v>AJR_drm_res_7_d</v>
      </c>
      <c r="B2224" s="36" t="str">
        <f>VLOOKUP($C2224,'Variable Information'!$A$1:$C$480,3,FALSE)</f>
        <v>Q29_2_iter07_d. Agree / disagree - I was represented by another advisor, person or organisation</v>
      </c>
      <c r="C2224" s="35" t="s">
        <v>1241</v>
      </c>
      <c r="D2224" s="30" t="s">
        <v>1447</v>
      </c>
      <c r="E2224" s="15" t="s">
        <v>1675</v>
      </c>
    </row>
    <row r="2225" spans="1:5" x14ac:dyDescent="0.25">
      <c r="A2225" s="36" t="e">
        <f>VLOOKUP($C2225,'Variable Information'!$A$2:$E$480,5,FALSE)</f>
        <v>#N/A</v>
      </c>
      <c r="B2225" s="36" t="e">
        <f>VLOOKUP($C2225,'Variable Information'!$A$1:$C$480,3,FALSE)</f>
        <v>#N/A</v>
      </c>
      <c r="C2225" s="35"/>
      <c r="D2225" s="30" t="s">
        <v>1449</v>
      </c>
      <c r="E2225" s="15" t="s">
        <v>1676</v>
      </c>
    </row>
    <row r="2226" spans="1:5" x14ac:dyDescent="0.25">
      <c r="A2226" s="36" t="e">
        <f>VLOOKUP($C2226,'Variable Information'!$A$2:$E$480,5,FALSE)</f>
        <v>#N/A</v>
      </c>
      <c r="B2226" s="36" t="e">
        <f>VLOOKUP($C2226,'Variable Information'!$A$1:$C$480,3,FALSE)</f>
        <v>#N/A</v>
      </c>
      <c r="C2226" s="35"/>
      <c r="D2226" s="30" t="s">
        <v>1451</v>
      </c>
      <c r="E2226" s="15" t="s">
        <v>1669</v>
      </c>
    </row>
    <row r="2227" spans="1:5" x14ac:dyDescent="0.25">
      <c r="A2227" s="36" t="e">
        <f>VLOOKUP($C2227,'Variable Information'!$A$2:$E$480,5,FALSE)</f>
        <v>#N/A</v>
      </c>
      <c r="B2227" s="36" t="e">
        <f>VLOOKUP($C2227,'Variable Information'!$A$1:$C$480,3,FALSE)</f>
        <v>#N/A</v>
      </c>
      <c r="C2227" s="35"/>
      <c r="D2227" s="30" t="s">
        <v>1456</v>
      </c>
      <c r="E2227" s="15" t="s">
        <v>1678</v>
      </c>
    </row>
    <row r="2228" spans="1:5" x14ac:dyDescent="0.25">
      <c r="A2228" s="36" t="str">
        <f>VLOOKUP($C2228,'Variable Information'!$A$2:$E$480,5,FALSE)</f>
        <v>AJR_drm_res_8_a</v>
      </c>
      <c r="B2228" s="36" t="str">
        <f>VLOOKUP($C2228,'Variable Information'!$A$1:$C$480,3,FALSE)</f>
        <v>Q29_2_iter08_a. Agree / disagree - I received the decision/outcome of the process in writing</v>
      </c>
      <c r="C2228" s="35" t="s">
        <v>1244</v>
      </c>
      <c r="D2228" s="30" t="s">
        <v>1447</v>
      </c>
      <c r="E2228" s="15" t="s">
        <v>1675</v>
      </c>
    </row>
    <row r="2229" spans="1:5" x14ac:dyDescent="0.25">
      <c r="A2229" s="36" t="e">
        <f>VLOOKUP($C2229,'Variable Information'!$A$2:$E$480,5,FALSE)</f>
        <v>#N/A</v>
      </c>
      <c r="B2229" s="36" t="e">
        <f>VLOOKUP($C2229,'Variable Information'!$A$1:$C$480,3,FALSE)</f>
        <v>#N/A</v>
      </c>
      <c r="C2229" s="35"/>
      <c r="D2229" s="30" t="s">
        <v>1449</v>
      </c>
      <c r="E2229" s="15" t="s">
        <v>1676</v>
      </c>
    </row>
    <row r="2230" spans="1:5" x14ac:dyDescent="0.25">
      <c r="A2230" s="36" t="e">
        <f>VLOOKUP($C2230,'Variable Information'!$A$2:$E$480,5,FALSE)</f>
        <v>#N/A</v>
      </c>
      <c r="B2230" s="36" t="e">
        <f>VLOOKUP($C2230,'Variable Information'!$A$1:$C$480,3,FALSE)</f>
        <v>#N/A</v>
      </c>
      <c r="C2230" s="35"/>
      <c r="D2230" s="30" t="s">
        <v>1451</v>
      </c>
      <c r="E2230" s="15" t="s">
        <v>1669</v>
      </c>
    </row>
    <row r="2231" spans="1:5" x14ac:dyDescent="0.25">
      <c r="A2231" s="36" t="e">
        <f>VLOOKUP($C2231,'Variable Information'!$A$2:$E$480,5,FALSE)</f>
        <v>#N/A</v>
      </c>
      <c r="B2231" s="36" t="e">
        <f>VLOOKUP($C2231,'Variable Information'!$A$1:$C$480,3,FALSE)</f>
        <v>#N/A</v>
      </c>
      <c r="C2231" s="35"/>
      <c r="D2231" s="30" t="s">
        <v>1456</v>
      </c>
      <c r="E2231" s="15" t="s">
        <v>1678</v>
      </c>
    </row>
    <row r="2232" spans="1:5" x14ac:dyDescent="0.25">
      <c r="A2232" s="36" t="str">
        <f>VLOOKUP($C2232,'Variable Information'!$A$2:$E$480,5,FALSE)</f>
        <v>AJR_drm_res_8_b</v>
      </c>
      <c r="B2232" s="36" t="str">
        <f>VLOOKUP($C2232,'Variable Information'!$A$1:$C$480,3,FALSE)</f>
        <v>Q29_2_iter08_b. Agree / disagree - I could have appealed the decision/outcome</v>
      </c>
      <c r="C2232" s="35" t="s">
        <v>1247</v>
      </c>
      <c r="D2232" s="30" t="s">
        <v>1447</v>
      </c>
      <c r="E2232" s="15" t="s">
        <v>1675</v>
      </c>
    </row>
    <row r="2233" spans="1:5" x14ac:dyDescent="0.25">
      <c r="A2233" s="36" t="e">
        <f>VLOOKUP($C2233,'Variable Information'!$A$2:$E$480,5,FALSE)</f>
        <v>#N/A</v>
      </c>
      <c r="B2233" s="36" t="e">
        <f>VLOOKUP($C2233,'Variable Information'!$A$1:$C$480,3,FALSE)</f>
        <v>#N/A</v>
      </c>
      <c r="C2233" s="35"/>
      <c r="D2233" s="30" t="s">
        <v>1449</v>
      </c>
      <c r="E2233" s="15" t="s">
        <v>1676</v>
      </c>
    </row>
    <row r="2234" spans="1:5" x14ac:dyDescent="0.25">
      <c r="A2234" s="36" t="e">
        <f>VLOOKUP($C2234,'Variable Information'!$A$2:$E$480,5,FALSE)</f>
        <v>#N/A</v>
      </c>
      <c r="B2234" s="36" t="e">
        <f>VLOOKUP($C2234,'Variable Information'!$A$1:$C$480,3,FALSE)</f>
        <v>#N/A</v>
      </c>
      <c r="C2234" s="35"/>
      <c r="D2234" s="30" t="s">
        <v>1451</v>
      </c>
      <c r="E2234" s="15" t="s">
        <v>1669</v>
      </c>
    </row>
    <row r="2235" spans="1:5" x14ac:dyDescent="0.25">
      <c r="A2235" s="36" t="e">
        <f>VLOOKUP($C2235,'Variable Information'!$A$2:$E$480,5,FALSE)</f>
        <v>#N/A</v>
      </c>
      <c r="B2235" s="36" t="e">
        <f>VLOOKUP($C2235,'Variable Information'!$A$1:$C$480,3,FALSE)</f>
        <v>#N/A</v>
      </c>
      <c r="C2235" s="35"/>
      <c r="D2235" s="30" t="s">
        <v>1456</v>
      </c>
      <c r="E2235" s="15" t="s">
        <v>1678</v>
      </c>
    </row>
    <row r="2236" spans="1:5" x14ac:dyDescent="0.25">
      <c r="A2236" s="36" t="str">
        <f>VLOOKUP($C2236,'Variable Information'!$A$2:$E$480,5,FALSE)</f>
        <v>AJR_drm_res_8_c</v>
      </c>
      <c r="B2236" s="36" t="str">
        <f>VLOOKUP($C2236,'Variable Information'!$A$1:$C$480,3,FALSE)</f>
        <v>Q29_2_iter08_c. Agree / disagree - I was represented by a lawyer</v>
      </c>
      <c r="C2236" s="35" t="s">
        <v>1250</v>
      </c>
      <c r="D2236" s="30" t="s">
        <v>1447</v>
      </c>
      <c r="E2236" s="15" t="s">
        <v>1675</v>
      </c>
    </row>
    <row r="2237" spans="1:5" x14ac:dyDescent="0.25">
      <c r="A2237" s="36" t="e">
        <f>VLOOKUP($C2237,'Variable Information'!$A$2:$E$480,5,FALSE)</f>
        <v>#N/A</v>
      </c>
      <c r="B2237" s="36" t="e">
        <f>VLOOKUP($C2237,'Variable Information'!$A$1:$C$480,3,FALSE)</f>
        <v>#N/A</v>
      </c>
      <c r="C2237" s="35"/>
      <c r="D2237" s="30" t="s">
        <v>1449</v>
      </c>
      <c r="E2237" s="15" t="s">
        <v>1676</v>
      </c>
    </row>
    <row r="2238" spans="1:5" x14ac:dyDescent="0.25">
      <c r="A2238" s="36" t="e">
        <f>VLOOKUP($C2238,'Variable Information'!$A$2:$E$480,5,FALSE)</f>
        <v>#N/A</v>
      </c>
      <c r="B2238" s="36" t="e">
        <f>VLOOKUP($C2238,'Variable Information'!$A$1:$C$480,3,FALSE)</f>
        <v>#N/A</v>
      </c>
      <c r="C2238" s="35"/>
      <c r="D2238" s="30" t="s">
        <v>1451</v>
      </c>
      <c r="E2238" s="15" t="s">
        <v>1669</v>
      </c>
    </row>
    <row r="2239" spans="1:5" x14ac:dyDescent="0.25">
      <c r="A2239" s="36" t="e">
        <f>VLOOKUP($C2239,'Variable Information'!$A$2:$E$480,5,FALSE)</f>
        <v>#N/A</v>
      </c>
      <c r="B2239" s="36" t="e">
        <f>VLOOKUP($C2239,'Variable Information'!$A$1:$C$480,3,FALSE)</f>
        <v>#N/A</v>
      </c>
      <c r="C2239" s="35"/>
      <c r="D2239" s="30" t="s">
        <v>1456</v>
      </c>
      <c r="E2239" s="15" t="s">
        <v>1678</v>
      </c>
    </row>
    <row r="2240" spans="1:5" x14ac:dyDescent="0.25">
      <c r="A2240" s="36" t="str">
        <f>VLOOKUP($C2240,'Variable Information'!$A$2:$E$480,5,FALSE)</f>
        <v>AJR_drm_res_8_d</v>
      </c>
      <c r="B2240" s="36" t="str">
        <f>VLOOKUP($C2240,'Variable Information'!$A$1:$C$480,3,FALSE)</f>
        <v>Q29_2_iter08_d. Agree / disagree - I was represented by another advisor, person or organisation</v>
      </c>
      <c r="C2240" s="35" t="s">
        <v>1253</v>
      </c>
      <c r="D2240" s="30" t="s">
        <v>1447</v>
      </c>
      <c r="E2240" s="15" t="s">
        <v>1675</v>
      </c>
    </row>
    <row r="2241" spans="1:5" x14ac:dyDescent="0.25">
      <c r="A2241" s="36" t="e">
        <f>VLOOKUP($C2241,'Variable Information'!$A$2:$E$480,5,FALSE)</f>
        <v>#N/A</v>
      </c>
      <c r="B2241" s="36" t="e">
        <f>VLOOKUP($C2241,'Variable Information'!$A$1:$C$480,3,FALSE)</f>
        <v>#N/A</v>
      </c>
      <c r="C2241" s="35"/>
      <c r="D2241" s="30" t="s">
        <v>1449</v>
      </c>
      <c r="E2241" s="15" t="s">
        <v>1676</v>
      </c>
    </row>
    <row r="2242" spans="1:5" x14ac:dyDescent="0.25">
      <c r="A2242" s="36" t="e">
        <f>VLOOKUP($C2242,'Variable Information'!$A$2:$E$480,5,FALSE)</f>
        <v>#N/A</v>
      </c>
      <c r="B2242" s="36" t="e">
        <f>VLOOKUP($C2242,'Variable Information'!$A$1:$C$480,3,FALSE)</f>
        <v>#N/A</v>
      </c>
      <c r="C2242" s="35"/>
      <c r="D2242" s="30" t="s">
        <v>1451</v>
      </c>
      <c r="E2242" s="15" t="s">
        <v>1669</v>
      </c>
    </row>
    <row r="2243" spans="1:5" x14ac:dyDescent="0.25">
      <c r="A2243" s="36" t="e">
        <f>VLOOKUP($C2243,'Variable Information'!$A$2:$E$480,5,FALSE)</f>
        <v>#N/A</v>
      </c>
      <c r="B2243" s="36" t="e">
        <f>VLOOKUP($C2243,'Variable Information'!$A$1:$C$480,3,FALSE)</f>
        <v>#N/A</v>
      </c>
      <c r="C2243" s="35"/>
      <c r="D2243" s="30" t="s">
        <v>1456</v>
      </c>
      <c r="E2243" s="15" t="s">
        <v>1678</v>
      </c>
    </row>
    <row r="2244" spans="1:5" x14ac:dyDescent="0.25">
      <c r="A2244" s="36" t="str">
        <f>VLOOKUP($C2244,'Variable Information'!$A$2:$E$480,5,FALSE)</f>
        <v>AJR_drm_res_9_a</v>
      </c>
      <c r="B2244" s="36" t="str">
        <f>VLOOKUP($C2244,'Variable Information'!$A$1:$C$480,3,FALSE)</f>
        <v>Q29_2_iter09_a. Agree / disagree - I received the decision/outcome of the process in writing</v>
      </c>
      <c r="C2244" s="35" t="s">
        <v>1256</v>
      </c>
      <c r="D2244" s="30" t="s">
        <v>1447</v>
      </c>
      <c r="E2244" s="15" t="s">
        <v>1675</v>
      </c>
    </row>
    <row r="2245" spans="1:5" x14ac:dyDescent="0.25">
      <c r="A2245" s="36" t="e">
        <f>VLOOKUP($C2245,'Variable Information'!$A$2:$E$480,5,FALSE)</f>
        <v>#N/A</v>
      </c>
      <c r="B2245" s="36" t="e">
        <f>VLOOKUP($C2245,'Variable Information'!$A$1:$C$480,3,FALSE)</f>
        <v>#N/A</v>
      </c>
      <c r="C2245" s="35"/>
      <c r="D2245" s="30" t="s">
        <v>1449</v>
      </c>
      <c r="E2245" s="15" t="s">
        <v>1676</v>
      </c>
    </row>
    <row r="2246" spans="1:5" x14ac:dyDescent="0.25">
      <c r="A2246" s="36" t="e">
        <f>VLOOKUP($C2246,'Variable Information'!$A$2:$E$480,5,FALSE)</f>
        <v>#N/A</v>
      </c>
      <c r="B2246" s="36" t="e">
        <f>VLOOKUP($C2246,'Variable Information'!$A$1:$C$480,3,FALSE)</f>
        <v>#N/A</v>
      </c>
      <c r="C2246" s="35"/>
      <c r="D2246" s="30" t="s">
        <v>1451</v>
      </c>
      <c r="E2246" s="15" t="s">
        <v>1669</v>
      </c>
    </row>
    <row r="2247" spans="1:5" x14ac:dyDescent="0.25">
      <c r="A2247" s="36" t="e">
        <f>VLOOKUP($C2247,'Variable Information'!$A$2:$E$480,5,FALSE)</f>
        <v>#N/A</v>
      </c>
      <c r="B2247" s="36" t="e">
        <f>VLOOKUP($C2247,'Variable Information'!$A$1:$C$480,3,FALSE)</f>
        <v>#N/A</v>
      </c>
      <c r="C2247" s="35"/>
      <c r="D2247" s="30" t="s">
        <v>1456</v>
      </c>
      <c r="E2247" s="15" t="s">
        <v>1678</v>
      </c>
    </row>
    <row r="2248" spans="1:5" x14ac:dyDescent="0.25">
      <c r="A2248" s="36" t="str">
        <f>VLOOKUP($C2248,'Variable Information'!$A$2:$E$480,5,FALSE)</f>
        <v>AJR_drm_res_9_b</v>
      </c>
      <c r="B2248" s="36" t="str">
        <f>VLOOKUP($C2248,'Variable Information'!$A$1:$C$480,3,FALSE)</f>
        <v>Q29_2_iter09_b. Agree / disagree - I could have appealed the decision/outcome</v>
      </c>
      <c r="C2248" s="35" t="s">
        <v>1259</v>
      </c>
      <c r="D2248" s="30" t="s">
        <v>1447</v>
      </c>
      <c r="E2248" s="15" t="s">
        <v>1675</v>
      </c>
    </row>
    <row r="2249" spans="1:5" x14ac:dyDescent="0.25">
      <c r="A2249" s="36" t="e">
        <f>VLOOKUP($C2249,'Variable Information'!$A$2:$E$480,5,FALSE)</f>
        <v>#N/A</v>
      </c>
      <c r="B2249" s="36" t="e">
        <f>VLOOKUP($C2249,'Variable Information'!$A$1:$C$480,3,FALSE)</f>
        <v>#N/A</v>
      </c>
      <c r="C2249" s="35"/>
      <c r="D2249" s="30" t="s">
        <v>1449</v>
      </c>
      <c r="E2249" s="15" t="s">
        <v>1676</v>
      </c>
    </row>
    <row r="2250" spans="1:5" x14ac:dyDescent="0.25">
      <c r="A2250" s="36" t="e">
        <f>VLOOKUP($C2250,'Variable Information'!$A$2:$E$480,5,FALSE)</f>
        <v>#N/A</v>
      </c>
      <c r="B2250" s="36" t="e">
        <f>VLOOKUP($C2250,'Variable Information'!$A$1:$C$480,3,FALSE)</f>
        <v>#N/A</v>
      </c>
      <c r="C2250" s="35"/>
      <c r="D2250" s="30" t="s">
        <v>1451</v>
      </c>
      <c r="E2250" s="15" t="s">
        <v>1669</v>
      </c>
    </row>
    <row r="2251" spans="1:5" x14ac:dyDescent="0.25">
      <c r="A2251" s="36" t="e">
        <f>VLOOKUP($C2251,'Variable Information'!$A$2:$E$480,5,FALSE)</f>
        <v>#N/A</v>
      </c>
      <c r="B2251" s="36" t="e">
        <f>VLOOKUP($C2251,'Variable Information'!$A$1:$C$480,3,FALSE)</f>
        <v>#N/A</v>
      </c>
      <c r="C2251" s="35"/>
      <c r="D2251" s="30" t="s">
        <v>1456</v>
      </c>
      <c r="E2251" s="15" t="s">
        <v>1678</v>
      </c>
    </row>
    <row r="2252" spans="1:5" x14ac:dyDescent="0.25">
      <c r="A2252" s="36" t="str">
        <f>VLOOKUP($C2252,'Variable Information'!$A$2:$E$480,5,FALSE)</f>
        <v>AJR_drm_res_9_c</v>
      </c>
      <c r="B2252" s="36" t="str">
        <f>VLOOKUP($C2252,'Variable Information'!$A$1:$C$480,3,FALSE)</f>
        <v>Q29_2_iter09_c. Agree / disagree - I was represented by a lawyer</v>
      </c>
      <c r="C2252" s="35" t="s">
        <v>1262</v>
      </c>
      <c r="D2252" s="30" t="s">
        <v>1447</v>
      </c>
      <c r="E2252" s="15" t="s">
        <v>1675</v>
      </c>
    </row>
    <row r="2253" spans="1:5" x14ac:dyDescent="0.25">
      <c r="A2253" s="36" t="e">
        <f>VLOOKUP($C2253,'Variable Information'!$A$2:$E$480,5,FALSE)</f>
        <v>#N/A</v>
      </c>
      <c r="B2253" s="36" t="e">
        <f>VLOOKUP($C2253,'Variable Information'!$A$1:$C$480,3,FALSE)</f>
        <v>#N/A</v>
      </c>
      <c r="C2253" s="35"/>
      <c r="D2253" s="30" t="s">
        <v>1449</v>
      </c>
      <c r="E2253" s="15" t="s">
        <v>1676</v>
      </c>
    </row>
    <row r="2254" spans="1:5" x14ac:dyDescent="0.25">
      <c r="A2254" s="36" t="e">
        <f>VLOOKUP($C2254,'Variable Information'!$A$2:$E$480,5,FALSE)</f>
        <v>#N/A</v>
      </c>
      <c r="B2254" s="36" t="e">
        <f>VLOOKUP($C2254,'Variable Information'!$A$1:$C$480,3,FALSE)</f>
        <v>#N/A</v>
      </c>
      <c r="C2254" s="35"/>
      <c r="D2254" s="30" t="s">
        <v>1451</v>
      </c>
      <c r="E2254" s="15" t="s">
        <v>1669</v>
      </c>
    </row>
    <row r="2255" spans="1:5" x14ac:dyDescent="0.25">
      <c r="A2255" s="36" t="e">
        <f>VLOOKUP($C2255,'Variable Information'!$A$2:$E$480,5,FALSE)</f>
        <v>#N/A</v>
      </c>
      <c r="B2255" s="36" t="e">
        <f>VLOOKUP($C2255,'Variable Information'!$A$1:$C$480,3,FALSE)</f>
        <v>#N/A</v>
      </c>
      <c r="C2255" s="35"/>
      <c r="D2255" s="30" t="s">
        <v>1456</v>
      </c>
      <c r="E2255" s="15" t="s">
        <v>1678</v>
      </c>
    </row>
    <row r="2256" spans="1:5" x14ac:dyDescent="0.25">
      <c r="A2256" s="36" t="str">
        <f>VLOOKUP($C2256,'Variable Information'!$A$2:$E$480,5,FALSE)</f>
        <v>AJR_drm_res_9_d</v>
      </c>
      <c r="B2256" s="36" t="str">
        <f>VLOOKUP($C2256,'Variable Information'!$A$1:$C$480,3,FALSE)</f>
        <v>Q29_2_iter09_d. Agree / disagree - I was represented by another advisor, person or organisation</v>
      </c>
      <c r="C2256" s="35" t="s">
        <v>1265</v>
      </c>
      <c r="D2256" s="30" t="s">
        <v>1447</v>
      </c>
      <c r="E2256" s="15" t="s">
        <v>1675</v>
      </c>
    </row>
    <row r="2257" spans="1:5" x14ac:dyDescent="0.25">
      <c r="A2257" s="36" t="e">
        <f>VLOOKUP($C2257,'Variable Information'!$A$2:$E$480,5,FALSE)</f>
        <v>#N/A</v>
      </c>
      <c r="B2257" s="36" t="e">
        <f>VLOOKUP($C2257,'Variable Information'!$A$1:$C$480,3,FALSE)</f>
        <v>#N/A</v>
      </c>
      <c r="C2257" s="35"/>
      <c r="D2257" s="30" t="s">
        <v>1449</v>
      </c>
      <c r="E2257" s="15" t="s">
        <v>1676</v>
      </c>
    </row>
    <row r="2258" spans="1:5" x14ac:dyDescent="0.25">
      <c r="A2258" s="36" t="e">
        <f>VLOOKUP($C2258,'Variable Information'!$A$2:$E$480,5,FALSE)</f>
        <v>#N/A</v>
      </c>
      <c r="B2258" s="36" t="e">
        <f>VLOOKUP($C2258,'Variable Information'!$A$1:$C$480,3,FALSE)</f>
        <v>#N/A</v>
      </c>
      <c r="C2258" s="35"/>
      <c r="D2258" s="30" t="s">
        <v>1451</v>
      </c>
      <c r="E2258" s="15" t="s">
        <v>1669</v>
      </c>
    </row>
    <row r="2259" spans="1:5" x14ac:dyDescent="0.25">
      <c r="A2259" s="36" t="e">
        <f>VLOOKUP($C2259,'Variable Information'!$A$2:$E$480,5,FALSE)</f>
        <v>#N/A</v>
      </c>
      <c r="B2259" s="36" t="e">
        <f>VLOOKUP($C2259,'Variable Information'!$A$1:$C$480,3,FALSE)</f>
        <v>#N/A</v>
      </c>
      <c r="C2259" s="35"/>
      <c r="D2259" s="30" t="s">
        <v>1456</v>
      </c>
      <c r="E2259" s="15" t="s">
        <v>1678</v>
      </c>
    </row>
    <row r="2260" spans="1:5" x14ac:dyDescent="0.25">
      <c r="A2260" s="36" t="str">
        <f>VLOOKUP($C2260,'Variable Information'!$A$2:$E$480,5,FALSE)</f>
        <v>AJR_drm_res_11_a</v>
      </c>
      <c r="B2260" s="36" t="str">
        <f>VLOOKUP($C2260,'Variable Information'!$A$1:$C$480,3,FALSE)</f>
        <v>Q29_2_iter11_a. Agree / disagree - I received the decision/outcome of the process in writing</v>
      </c>
      <c r="C2260" s="35" t="s">
        <v>1268</v>
      </c>
      <c r="D2260" s="30" t="s">
        <v>1447</v>
      </c>
      <c r="E2260" s="15" t="s">
        <v>1675</v>
      </c>
    </row>
    <row r="2261" spans="1:5" x14ac:dyDescent="0.25">
      <c r="A2261" s="36" t="e">
        <f>VLOOKUP($C2261,'Variable Information'!$A$2:$E$480,5,FALSE)</f>
        <v>#N/A</v>
      </c>
      <c r="B2261" s="36" t="e">
        <f>VLOOKUP($C2261,'Variable Information'!$A$1:$C$480,3,FALSE)</f>
        <v>#N/A</v>
      </c>
      <c r="C2261" s="35"/>
      <c r="D2261" s="30" t="s">
        <v>1449</v>
      </c>
      <c r="E2261" s="15" t="s">
        <v>1676</v>
      </c>
    </row>
    <row r="2262" spans="1:5" x14ac:dyDescent="0.25">
      <c r="A2262" s="36" t="e">
        <f>VLOOKUP($C2262,'Variable Information'!$A$2:$E$480,5,FALSE)</f>
        <v>#N/A</v>
      </c>
      <c r="B2262" s="36" t="e">
        <f>VLOOKUP($C2262,'Variable Information'!$A$1:$C$480,3,FALSE)</f>
        <v>#N/A</v>
      </c>
      <c r="C2262" s="35"/>
      <c r="D2262" s="30" t="s">
        <v>1451</v>
      </c>
      <c r="E2262" s="15" t="s">
        <v>1669</v>
      </c>
    </row>
    <row r="2263" spans="1:5" x14ac:dyDescent="0.25">
      <c r="A2263" s="36" t="e">
        <f>VLOOKUP($C2263,'Variable Information'!$A$2:$E$480,5,FALSE)</f>
        <v>#N/A</v>
      </c>
      <c r="B2263" s="36" t="e">
        <f>VLOOKUP($C2263,'Variable Information'!$A$1:$C$480,3,FALSE)</f>
        <v>#N/A</v>
      </c>
      <c r="C2263" s="35"/>
      <c r="D2263" s="30" t="s">
        <v>1456</v>
      </c>
      <c r="E2263" s="15" t="s">
        <v>1678</v>
      </c>
    </row>
    <row r="2264" spans="1:5" x14ac:dyDescent="0.25">
      <c r="A2264" s="36" t="str">
        <f>VLOOKUP($C2264,'Variable Information'!$A$2:$E$480,5,FALSE)</f>
        <v>AJR_drm_res_11_b</v>
      </c>
      <c r="B2264" s="36" t="str">
        <f>VLOOKUP($C2264,'Variable Information'!$A$1:$C$480,3,FALSE)</f>
        <v>Q29_2_iter11_b. Agree / disagree - I could have appealed the decision/outcome</v>
      </c>
      <c r="C2264" s="35" t="s">
        <v>1271</v>
      </c>
      <c r="D2264" s="30" t="s">
        <v>1447</v>
      </c>
      <c r="E2264" s="15" t="s">
        <v>1675</v>
      </c>
    </row>
    <row r="2265" spans="1:5" x14ac:dyDescent="0.25">
      <c r="A2265" s="36" t="e">
        <f>VLOOKUP($C2265,'Variable Information'!$A$2:$E$480,5,FALSE)</f>
        <v>#N/A</v>
      </c>
      <c r="B2265" s="36" t="e">
        <f>VLOOKUP($C2265,'Variable Information'!$A$1:$C$480,3,FALSE)</f>
        <v>#N/A</v>
      </c>
      <c r="C2265" s="35"/>
      <c r="D2265" s="30" t="s">
        <v>1449</v>
      </c>
      <c r="E2265" s="15" t="s">
        <v>1676</v>
      </c>
    </row>
    <row r="2266" spans="1:5" x14ac:dyDescent="0.25">
      <c r="A2266" s="36" t="e">
        <f>VLOOKUP($C2266,'Variable Information'!$A$2:$E$480,5,FALSE)</f>
        <v>#N/A</v>
      </c>
      <c r="B2266" s="36" t="e">
        <f>VLOOKUP($C2266,'Variable Information'!$A$1:$C$480,3,FALSE)</f>
        <v>#N/A</v>
      </c>
      <c r="C2266" s="35"/>
      <c r="D2266" s="30" t="s">
        <v>1451</v>
      </c>
      <c r="E2266" s="15" t="s">
        <v>1669</v>
      </c>
    </row>
    <row r="2267" spans="1:5" x14ac:dyDescent="0.25">
      <c r="A2267" s="36" t="e">
        <f>VLOOKUP($C2267,'Variable Information'!$A$2:$E$480,5,FALSE)</f>
        <v>#N/A</v>
      </c>
      <c r="B2267" s="36" t="e">
        <f>VLOOKUP($C2267,'Variable Information'!$A$1:$C$480,3,FALSE)</f>
        <v>#N/A</v>
      </c>
      <c r="C2267" s="35"/>
      <c r="D2267" s="30" t="s">
        <v>1456</v>
      </c>
      <c r="E2267" s="15" t="s">
        <v>1678</v>
      </c>
    </row>
    <row r="2268" spans="1:5" x14ac:dyDescent="0.25">
      <c r="A2268" s="36" t="str">
        <f>VLOOKUP($C2268,'Variable Information'!$A$2:$E$480,5,FALSE)</f>
        <v>AJR_drm_res_11_c</v>
      </c>
      <c r="B2268" s="36" t="str">
        <f>VLOOKUP($C2268,'Variable Information'!$A$1:$C$480,3,FALSE)</f>
        <v>Q29_2_iter11_c. Agree / disagree - I was represented by a lawyer</v>
      </c>
      <c r="C2268" s="35" t="s">
        <v>1274</v>
      </c>
      <c r="D2268" s="30" t="s">
        <v>1447</v>
      </c>
      <c r="E2268" s="15" t="s">
        <v>1675</v>
      </c>
    </row>
    <row r="2269" spans="1:5" x14ac:dyDescent="0.25">
      <c r="A2269" s="36" t="e">
        <f>VLOOKUP($C2269,'Variable Information'!$A$2:$E$480,5,FALSE)</f>
        <v>#N/A</v>
      </c>
      <c r="B2269" s="36" t="e">
        <f>VLOOKUP($C2269,'Variable Information'!$A$1:$C$480,3,FALSE)</f>
        <v>#N/A</v>
      </c>
      <c r="C2269" s="35"/>
      <c r="D2269" s="30" t="s">
        <v>1449</v>
      </c>
      <c r="E2269" s="15" t="s">
        <v>1676</v>
      </c>
    </row>
    <row r="2270" spans="1:5" x14ac:dyDescent="0.25">
      <c r="A2270" s="36" t="e">
        <f>VLOOKUP($C2270,'Variable Information'!$A$2:$E$480,5,FALSE)</f>
        <v>#N/A</v>
      </c>
      <c r="B2270" s="36" t="e">
        <f>VLOOKUP($C2270,'Variable Information'!$A$1:$C$480,3,FALSE)</f>
        <v>#N/A</v>
      </c>
      <c r="C2270" s="35"/>
      <c r="D2270" s="30" t="s">
        <v>1451</v>
      </c>
      <c r="E2270" s="15" t="s">
        <v>1669</v>
      </c>
    </row>
    <row r="2271" spans="1:5" x14ac:dyDescent="0.25">
      <c r="A2271" s="36" t="e">
        <f>VLOOKUP($C2271,'Variable Information'!$A$2:$E$480,5,FALSE)</f>
        <v>#N/A</v>
      </c>
      <c r="B2271" s="36" t="e">
        <f>VLOOKUP($C2271,'Variable Information'!$A$1:$C$480,3,FALSE)</f>
        <v>#N/A</v>
      </c>
      <c r="C2271" s="35"/>
      <c r="D2271" s="30" t="s">
        <v>1456</v>
      </c>
      <c r="E2271" s="15" t="s">
        <v>1678</v>
      </c>
    </row>
    <row r="2272" spans="1:5" x14ac:dyDescent="0.25">
      <c r="A2272" s="36" t="str">
        <f>VLOOKUP($C2272,'Variable Information'!$A$2:$E$480,5,FALSE)</f>
        <v>AJR_drm_res_11_d</v>
      </c>
      <c r="B2272" s="36" t="str">
        <f>VLOOKUP($C2272,'Variable Information'!$A$1:$C$480,3,FALSE)</f>
        <v>Q29_2_iter11_d. Agree / disagree - I was represented by another advisor, person or organisation</v>
      </c>
      <c r="C2272" s="35" t="s">
        <v>1277</v>
      </c>
      <c r="D2272" s="30" t="s">
        <v>1447</v>
      </c>
      <c r="E2272" s="15" t="s">
        <v>1675</v>
      </c>
    </row>
    <row r="2273" spans="1:5" x14ac:dyDescent="0.25">
      <c r="A2273" s="36" t="e">
        <f>VLOOKUP($C2273,'Variable Information'!$A$2:$E$480,5,FALSE)</f>
        <v>#N/A</v>
      </c>
      <c r="B2273" s="36" t="e">
        <f>VLOOKUP($C2273,'Variable Information'!$A$1:$C$480,3,FALSE)</f>
        <v>#N/A</v>
      </c>
      <c r="C2273" s="35"/>
      <c r="D2273" s="30" t="s">
        <v>1449</v>
      </c>
      <c r="E2273" s="15" t="s">
        <v>1676</v>
      </c>
    </row>
    <row r="2274" spans="1:5" x14ac:dyDescent="0.25">
      <c r="A2274" s="36" t="e">
        <f>VLOOKUP($C2274,'Variable Information'!$A$2:$E$480,5,FALSE)</f>
        <v>#N/A</v>
      </c>
      <c r="B2274" s="36" t="e">
        <f>VLOOKUP($C2274,'Variable Information'!$A$1:$C$480,3,FALSE)</f>
        <v>#N/A</v>
      </c>
      <c r="C2274" s="35"/>
      <c r="D2274" s="30" t="s">
        <v>1451</v>
      </c>
      <c r="E2274" s="15" t="s">
        <v>1669</v>
      </c>
    </row>
    <row r="2275" spans="1:5" x14ac:dyDescent="0.25">
      <c r="A2275" s="36" t="e">
        <f>VLOOKUP($C2275,'Variable Information'!$A$2:$E$480,5,FALSE)</f>
        <v>#N/A</v>
      </c>
      <c r="B2275" s="36" t="e">
        <f>VLOOKUP($C2275,'Variable Information'!$A$1:$C$480,3,FALSE)</f>
        <v>#N/A</v>
      </c>
      <c r="C2275" s="35"/>
      <c r="D2275" s="30" t="s">
        <v>1456</v>
      </c>
      <c r="E2275" s="15" t="s">
        <v>1678</v>
      </c>
    </row>
    <row r="2276" spans="1:5" x14ac:dyDescent="0.25">
      <c r="A2276" s="36" t="str">
        <f>VLOOKUP($C2276,'Variable Information'!$A$2:$E$480,5,FALSE)</f>
        <v>AJR_settle_resol</v>
      </c>
      <c r="B2276" s="36" t="str">
        <f>VLOOKUP($C2276,'Variable Information'!$A$1:$C$480,3,FALSE)</f>
        <v>Q28. Which of the following best reflects how the issue resolution was brought about? Select the first that applies.</v>
      </c>
      <c r="C2276" s="35" t="s">
        <v>1280</v>
      </c>
      <c r="D2276" s="30" t="s">
        <v>1447</v>
      </c>
      <c r="E2276" s="15" t="s">
        <v>1679</v>
      </c>
    </row>
    <row r="2277" spans="1:5" x14ac:dyDescent="0.25">
      <c r="A2277" s="36" t="e">
        <f>VLOOKUP($C2277,'Variable Information'!$A$2:$E$480,5,FALSE)</f>
        <v>#N/A</v>
      </c>
      <c r="B2277" s="36" t="e">
        <f>VLOOKUP($C2277,'Variable Information'!$A$1:$C$480,3,FALSE)</f>
        <v>#N/A</v>
      </c>
      <c r="C2277" s="35"/>
      <c r="D2277" s="30" t="s">
        <v>1449</v>
      </c>
      <c r="E2277" s="15" t="s">
        <v>1680</v>
      </c>
    </row>
    <row r="2278" spans="1:5" ht="30" x14ac:dyDescent="0.25">
      <c r="A2278" s="36" t="e">
        <f>VLOOKUP($C2278,'Variable Information'!$A$2:$E$480,5,FALSE)</f>
        <v>#N/A</v>
      </c>
      <c r="B2278" s="36" t="e">
        <f>VLOOKUP($C2278,'Variable Information'!$A$1:$C$480,3,FALSE)</f>
        <v>#N/A</v>
      </c>
      <c r="C2278" s="35"/>
      <c r="D2278" s="30" t="s">
        <v>1451</v>
      </c>
      <c r="E2278" s="15" t="s">
        <v>1681</v>
      </c>
    </row>
    <row r="2279" spans="1:5" ht="30" x14ac:dyDescent="0.25">
      <c r="A2279" s="36" t="e">
        <f>VLOOKUP($C2279,'Variable Information'!$A$2:$E$480,5,FALSE)</f>
        <v>#N/A</v>
      </c>
      <c r="B2279" s="36" t="e">
        <f>VLOOKUP($C2279,'Variable Information'!$A$1:$C$480,3,FALSE)</f>
        <v>#N/A</v>
      </c>
      <c r="C2279" s="35"/>
      <c r="D2279" s="30" t="s">
        <v>1456</v>
      </c>
      <c r="E2279" s="15" t="s">
        <v>1682</v>
      </c>
    </row>
    <row r="2280" spans="1:5" x14ac:dyDescent="0.25">
      <c r="A2280" s="36" t="e">
        <f>VLOOKUP($C2280,'Variable Information'!$A$2:$E$480,5,FALSE)</f>
        <v>#N/A</v>
      </c>
      <c r="B2280" s="36" t="e">
        <f>VLOOKUP($C2280,'Variable Information'!$A$1:$C$480,3,FALSE)</f>
        <v>#N/A</v>
      </c>
      <c r="C2280" s="35"/>
      <c r="D2280" s="30" t="s">
        <v>1458</v>
      </c>
      <c r="E2280" s="15" t="s">
        <v>1683</v>
      </c>
    </row>
    <row r="2281" spans="1:5" x14ac:dyDescent="0.25">
      <c r="A2281" s="36" t="e">
        <f>VLOOKUP($C2281,'Variable Information'!$A$2:$E$480,5,FALSE)</f>
        <v>#N/A</v>
      </c>
      <c r="B2281" s="36" t="e">
        <f>VLOOKUP($C2281,'Variable Information'!$A$1:$C$480,3,FALSE)</f>
        <v>#N/A</v>
      </c>
      <c r="C2281" s="35"/>
      <c r="D2281" s="30" t="s">
        <v>1460</v>
      </c>
      <c r="E2281" s="15" t="s">
        <v>1684</v>
      </c>
    </row>
    <row r="2282" spans="1:5" x14ac:dyDescent="0.25">
      <c r="A2282" s="36" t="e">
        <f>VLOOKUP($C2282,'Variable Information'!$A$2:$E$480,5,FALSE)</f>
        <v>#N/A</v>
      </c>
      <c r="B2282" s="36" t="e">
        <f>VLOOKUP($C2282,'Variable Information'!$A$1:$C$480,3,FALSE)</f>
        <v>#N/A</v>
      </c>
      <c r="C2282" s="35"/>
      <c r="D2282" s="30" t="s">
        <v>1462</v>
      </c>
      <c r="E2282" s="15" t="s">
        <v>1685</v>
      </c>
    </row>
    <row r="2283" spans="1:5" x14ac:dyDescent="0.25">
      <c r="A2283" s="36" t="e">
        <f>VLOOKUP($C2283,'Variable Information'!$A$2:$E$480,5,FALSE)</f>
        <v>#N/A</v>
      </c>
      <c r="B2283" s="36" t="e">
        <f>VLOOKUP($C2283,'Variable Information'!$A$1:$C$480,3,FALSE)</f>
        <v>#N/A</v>
      </c>
      <c r="C2283" s="35"/>
      <c r="D2283" s="30" t="s">
        <v>1471</v>
      </c>
      <c r="E2283" s="15" t="s">
        <v>1686</v>
      </c>
    </row>
    <row r="2284" spans="1:5" x14ac:dyDescent="0.25">
      <c r="A2284" s="36" t="e">
        <f>VLOOKUP($C2284,'Variable Information'!$A$2:$E$480,5,FALSE)</f>
        <v>#N/A</v>
      </c>
      <c r="B2284" s="36" t="e">
        <f>VLOOKUP($C2284,'Variable Information'!$A$1:$C$480,3,FALSE)</f>
        <v>#N/A</v>
      </c>
      <c r="C2284" s="35"/>
      <c r="D2284" s="30" t="s">
        <v>1473</v>
      </c>
      <c r="E2284" s="15" t="s">
        <v>1687</v>
      </c>
    </row>
    <row r="2285" spans="1:5" x14ac:dyDescent="0.25">
      <c r="A2285" s="36" t="e">
        <f>VLOOKUP($C2285,'Variable Information'!$A$2:$E$480,5,FALSE)</f>
        <v>#N/A</v>
      </c>
      <c r="B2285" s="36" t="e">
        <f>VLOOKUP($C2285,'Variable Information'!$A$1:$C$480,3,FALSE)</f>
        <v>#N/A</v>
      </c>
      <c r="C2285" s="35"/>
      <c r="D2285" s="30" t="s">
        <v>1475</v>
      </c>
      <c r="E2285" s="15" t="s">
        <v>1688</v>
      </c>
    </row>
    <row r="2286" spans="1:5" x14ac:dyDescent="0.25">
      <c r="A2286" s="36" t="e">
        <f>VLOOKUP($C2286,'Variable Information'!$A$2:$E$480,5,FALSE)</f>
        <v>#N/A</v>
      </c>
      <c r="B2286" s="36" t="e">
        <f>VLOOKUP($C2286,'Variable Information'!$A$1:$C$480,3,FALSE)</f>
        <v>#N/A</v>
      </c>
      <c r="C2286" s="35"/>
      <c r="D2286" s="30" t="s">
        <v>1477</v>
      </c>
      <c r="E2286" s="15" t="s">
        <v>1689</v>
      </c>
    </row>
    <row r="2287" spans="1:5" x14ac:dyDescent="0.25">
      <c r="A2287" s="36" t="str">
        <f>VLOOKUP($C2287,'Variable Information'!$A$2:$E$480,5,FALSE)</f>
        <v>AJR_fair</v>
      </c>
      <c r="B2287" s="36" t="str">
        <f>VLOOKUP($C2287,'Variable Information'!$A$1:$C$480,3,FALSE)</f>
        <v>Q30. Regardless of the outcome of this issue, do you feel the process through which the outcome was reached was overall fair or unfair to everybody concerned?</v>
      </c>
      <c r="C2287" s="35" t="s">
        <v>1284</v>
      </c>
      <c r="D2287" s="30" t="s">
        <v>1447</v>
      </c>
      <c r="E2287" s="15" t="s">
        <v>1690</v>
      </c>
    </row>
    <row r="2288" spans="1:5" x14ac:dyDescent="0.25">
      <c r="A2288" s="36" t="e">
        <f>VLOOKUP($C2288,'Variable Information'!$A$2:$E$480,5,FALSE)</f>
        <v>#N/A</v>
      </c>
      <c r="B2288" s="36" t="e">
        <f>VLOOKUP($C2288,'Variable Information'!$A$1:$C$480,3,FALSE)</f>
        <v>#N/A</v>
      </c>
      <c r="C2288" s="35"/>
      <c r="D2288" s="30" t="s">
        <v>1449</v>
      </c>
      <c r="E2288" s="15" t="s">
        <v>1691</v>
      </c>
    </row>
    <row r="2289" spans="1:5" x14ac:dyDescent="0.25">
      <c r="A2289" s="36" t="str">
        <f>VLOOKUP($C2289,'Variable Information'!$A$2:$E$480,5,FALSE)</f>
        <v>AJE_legalrights</v>
      </c>
      <c r="B2289" s="36" t="str">
        <f>VLOOKUP($C2289,'Variable Information'!$A$1:$C$480,3,FALSE)</f>
        <v>Q31. To what extent do you agree or disagree with the following statements about experiencing the issue? - I understood or came / have come to understand my rights and responsibilities</v>
      </c>
      <c r="C2289" s="35" t="s">
        <v>1286</v>
      </c>
      <c r="D2289" s="30" t="s">
        <v>1447</v>
      </c>
      <c r="E2289" s="15" t="s">
        <v>1674</v>
      </c>
    </row>
    <row r="2290" spans="1:5" x14ac:dyDescent="0.25">
      <c r="A2290" s="36" t="e">
        <f>VLOOKUP($C2290,'Variable Information'!$A$2:$E$480,5,FALSE)</f>
        <v>#N/A</v>
      </c>
      <c r="B2290" s="36" t="e">
        <f>VLOOKUP($C2290,'Variable Information'!$A$1:$C$480,3,FALSE)</f>
        <v>#N/A</v>
      </c>
      <c r="C2290" s="35"/>
      <c r="D2290" s="30" t="s">
        <v>1449</v>
      </c>
      <c r="E2290" s="15" t="s">
        <v>1675</v>
      </c>
    </row>
    <row r="2291" spans="1:5" x14ac:dyDescent="0.25">
      <c r="A2291" s="36" t="e">
        <f>VLOOKUP($C2291,'Variable Information'!$A$2:$E$480,5,FALSE)</f>
        <v>#N/A</v>
      </c>
      <c r="B2291" s="36" t="e">
        <f>VLOOKUP($C2291,'Variable Information'!$A$1:$C$480,3,FALSE)</f>
        <v>#N/A</v>
      </c>
      <c r="C2291" s="35"/>
      <c r="D2291" s="30" t="s">
        <v>1451</v>
      </c>
      <c r="E2291" s="15" t="s">
        <v>1676</v>
      </c>
    </row>
    <row r="2292" spans="1:5" x14ac:dyDescent="0.25">
      <c r="A2292" s="36" t="e">
        <f>VLOOKUP($C2292,'Variable Information'!$A$2:$E$480,5,FALSE)</f>
        <v>#N/A</v>
      </c>
      <c r="B2292" s="36" t="e">
        <f>VLOOKUP($C2292,'Variable Information'!$A$1:$C$480,3,FALSE)</f>
        <v>#N/A</v>
      </c>
      <c r="C2292" s="35"/>
      <c r="D2292" s="30" t="s">
        <v>1456</v>
      </c>
      <c r="E2292" s="15" t="s">
        <v>1677</v>
      </c>
    </row>
    <row r="2293" spans="1:5" x14ac:dyDescent="0.25">
      <c r="A2293" s="36" t="str">
        <f>VLOOKUP($C2293,'Variable Information'!$A$2:$E$480,5,FALSE)</f>
        <v>AJE_infosource</v>
      </c>
      <c r="B2293" s="36" t="str">
        <f>VLOOKUP($C2293,'Variable Information'!$A$1:$C$480,3,FALSE)</f>
        <v>Q31. To what extent do you agree or disagree with the following statements about experiencing the issue? - I knew / know where to get good information and advice about resolving issues</v>
      </c>
      <c r="C2293" s="35" t="s">
        <v>1289</v>
      </c>
      <c r="D2293" s="30" t="s">
        <v>1447</v>
      </c>
      <c r="E2293" s="15" t="s">
        <v>1674</v>
      </c>
    </row>
    <row r="2294" spans="1:5" x14ac:dyDescent="0.25">
      <c r="A2294" s="36" t="e">
        <f>VLOOKUP($C2294,'Variable Information'!$A$2:$E$480,5,FALSE)</f>
        <v>#N/A</v>
      </c>
      <c r="B2294" s="36" t="e">
        <f>VLOOKUP($C2294,'Variable Information'!$A$1:$C$480,3,FALSE)</f>
        <v>#N/A</v>
      </c>
      <c r="C2294" s="35"/>
      <c r="D2294" s="30" t="s">
        <v>1449</v>
      </c>
      <c r="E2294" s="15" t="s">
        <v>1675</v>
      </c>
    </row>
    <row r="2295" spans="1:5" x14ac:dyDescent="0.25">
      <c r="A2295" s="36" t="e">
        <f>VLOOKUP($C2295,'Variable Information'!$A$2:$E$480,5,FALSE)</f>
        <v>#N/A</v>
      </c>
      <c r="B2295" s="36" t="e">
        <f>VLOOKUP($C2295,'Variable Information'!$A$1:$C$480,3,FALSE)</f>
        <v>#N/A</v>
      </c>
      <c r="C2295" s="35"/>
      <c r="D2295" s="30" t="s">
        <v>1451</v>
      </c>
      <c r="E2295" s="15" t="s">
        <v>1676</v>
      </c>
    </row>
    <row r="2296" spans="1:5" x14ac:dyDescent="0.25">
      <c r="A2296" s="36" t="e">
        <f>VLOOKUP($C2296,'Variable Information'!$A$2:$E$480,5,FALSE)</f>
        <v>#N/A</v>
      </c>
      <c r="B2296" s="36" t="e">
        <f>VLOOKUP($C2296,'Variable Information'!$A$1:$C$480,3,FALSE)</f>
        <v>#N/A</v>
      </c>
      <c r="C2296" s="35"/>
      <c r="D2296" s="30" t="s">
        <v>1456</v>
      </c>
      <c r="E2296" s="15" t="s">
        <v>1677</v>
      </c>
    </row>
    <row r="2297" spans="1:5" x14ac:dyDescent="0.25">
      <c r="A2297" s="36" t="str">
        <f>VLOOKUP($C2297,'Variable Information'!$A$2:$E$480,5,FALSE)</f>
        <v>AJE_advice</v>
      </c>
      <c r="B2297" s="36" t="str">
        <f>VLOOKUP($C2297,'Variable Information'!$A$1:$C$480,3,FALSE)</f>
        <v>Q31. To what extent do you agree or disagree with the following statements about experiencing the issue? - I was able / have been able to get all the expert help that I needed</v>
      </c>
      <c r="C2297" s="35" t="s">
        <v>1292</v>
      </c>
      <c r="D2297" s="30" t="s">
        <v>1447</v>
      </c>
      <c r="E2297" s="15" t="s">
        <v>1674</v>
      </c>
    </row>
    <row r="2298" spans="1:5" x14ac:dyDescent="0.25">
      <c r="A2298" s="36" t="e">
        <f>VLOOKUP($C2298,'Variable Information'!$A$2:$E$480,5,FALSE)</f>
        <v>#N/A</v>
      </c>
      <c r="B2298" s="36" t="e">
        <f>VLOOKUP($C2298,'Variable Information'!$A$1:$C$480,3,FALSE)</f>
        <v>#N/A</v>
      </c>
      <c r="C2298" s="35"/>
      <c r="D2298" s="30" t="s">
        <v>1449</v>
      </c>
      <c r="E2298" s="15" t="s">
        <v>1675</v>
      </c>
    </row>
    <row r="2299" spans="1:5" x14ac:dyDescent="0.25">
      <c r="A2299" s="36" t="e">
        <f>VLOOKUP($C2299,'Variable Information'!$A$2:$E$480,5,FALSE)</f>
        <v>#N/A</v>
      </c>
      <c r="B2299" s="36" t="e">
        <f>VLOOKUP($C2299,'Variable Information'!$A$1:$C$480,3,FALSE)</f>
        <v>#N/A</v>
      </c>
      <c r="C2299" s="35"/>
      <c r="D2299" s="30" t="s">
        <v>1451</v>
      </c>
      <c r="E2299" s="15" t="s">
        <v>1676</v>
      </c>
    </row>
    <row r="2300" spans="1:5" x14ac:dyDescent="0.25">
      <c r="A2300" s="36" t="e">
        <f>VLOOKUP($C2300,'Variable Information'!$A$2:$E$480,5,FALSE)</f>
        <v>#N/A</v>
      </c>
      <c r="B2300" s="36" t="e">
        <f>VLOOKUP($C2300,'Variable Information'!$A$1:$C$480,3,FALSE)</f>
        <v>#N/A</v>
      </c>
      <c r="C2300" s="35"/>
      <c r="D2300" s="30" t="s">
        <v>1456</v>
      </c>
      <c r="E2300" s="15" t="s">
        <v>1677</v>
      </c>
    </row>
    <row r="2301" spans="1:5" x14ac:dyDescent="0.25">
      <c r="A2301" s="36" t="str">
        <f>VLOOKUP($C2301,'Variable Information'!$A$2:$E$480,5,FALSE)</f>
        <v>AJE_fairoutcome</v>
      </c>
      <c r="B2301" s="36" t="str">
        <f>VLOOKUP($C2301,'Variable Information'!$A$1:$C$480,3,FALSE)</f>
        <v>Q31. To what extent do you agree or disagree with the following statements about experiencing the issue? - I was / am confident I could achieve a fair outcome</v>
      </c>
      <c r="C2301" s="35" t="s">
        <v>1295</v>
      </c>
      <c r="D2301" s="30" t="s">
        <v>1447</v>
      </c>
      <c r="E2301" s="15" t="s">
        <v>1674</v>
      </c>
    </row>
    <row r="2302" spans="1:5" x14ac:dyDescent="0.25">
      <c r="A2302" s="36" t="e">
        <f>VLOOKUP($C2302,'Variable Information'!$A$2:$E$480,5,FALSE)</f>
        <v>#N/A</v>
      </c>
      <c r="B2302" s="36" t="e">
        <f>VLOOKUP($C2302,'Variable Information'!$A$1:$C$480,3,FALSE)</f>
        <v>#N/A</v>
      </c>
      <c r="C2302" s="35"/>
      <c r="D2302" s="30" t="s">
        <v>1449</v>
      </c>
      <c r="E2302" s="15" t="s">
        <v>1675</v>
      </c>
    </row>
    <row r="2303" spans="1:5" x14ac:dyDescent="0.25">
      <c r="A2303" s="36" t="e">
        <f>VLOOKUP($C2303,'Variable Information'!$A$2:$E$480,5,FALSE)</f>
        <v>#N/A</v>
      </c>
      <c r="B2303" s="36" t="e">
        <f>VLOOKUP($C2303,'Variable Information'!$A$1:$C$480,3,FALSE)</f>
        <v>#N/A</v>
      </c>
      <c r="C2303" s="35"/>
      <c r="D2303" s="30" t="s">
        <v>1451</v>
      </c>
      <c r="E2303" s="15" t="s">
        <v>1676</v>
      </c>
    </row>
    <row r="2304" spans="1:5" x14ac:dyDescent="0.25">
      <c r="A2304" s="36" t="e">
        <f>VLOOKUP($C2304,'Variable Information'!$A$2:$E$480,5,FALSE)</f>
        <v>#N/A</v>
      </c>
      <c r="B2304" s="36" t="e">
        <f>VLOOKUP($C2304,'Variable Information'!$A$1:$C$480,3,FALSE)</f>
        <v>#N/A</v>
      </c>
      <c r="C2304" s="35"/>
      <c r="D2304" s="30" t="s">
        <v>1456</v>
      </c>
      <c r="E2304" s="15" t="s">
        <v>1677</v>
      </c>
    </row>
    <row r="2305" spans="1:5" x14ac:dyDescent="0.25">
      <c r="A2305" s="36" t="str">
        <f>VLOOKUP($C2305,'Variable Information'!$A$2:$E$480,5,FALSE)</f>
        <v>AJE_impact</v>
      </c>
      <c r="B2305" s="36" t="str">
        <f>VLOOKUP($C2305,'Variable Information'!$A$1:$C$480,3,FALSE)</f>
        <v>Q32_1. Overall, how much impact has experiencing this issue, or trying to deal with this issue, had on you?</v>
      </c>
      <c r="C2305" s="35" t="s">
        <v>1298</v>
      </c>
      <c r="D2305" s="30" t="s">
        <v>1447</v>
      </c>
      <c r="E2305" s="15" t="s">
        <v>1692</v>
      </c>
    </row>
    <row r="2306" spans="1:5" x14ac:dyDescent="0.25">
      <c r="A2306" s="36" t="e">
        <f>VLOOKUP($C2306,'Variable Information'!$A$2:$E$480,5,FALSE)</f>
        <v>#N/A</v>
      </c>
      <c r="B2306" s="36" t="e">
        <f>VLOOKUP($C2306,'Variable Information'!$A$1:$C$480,3,FALSE)</f>
        <v>#N/A</v>
      </c>
      <c r="C2306" s="35"/>
      <c r="D2306" s="30" t="s">
        <v>1449</v>
      </c>
      <c r="E2306" s="15" t="s">
        <v>1693</v>
      </c>
    </row>
    <row r="2307" spans="1:5" x14ac:dyDescent="0.25">
      <c r="A2307" s="36" t="e">
        <f>VLOOKUP($C2307,'Variable Information'!$A$2:$E$480,5,FALSE)</f>
        <v>#N/A</v>
      </c>
      <c r="B2307" s="36" t="e">
        <f>VLOOKUP($C2307,'Variable Information'!$A$1:$C$480,3,FALSE)</f>
        <v>#N/A</v>
      </c>
      <c r="C2307" s="35"/>
      <c r="D2307" s="30" t="s">
        <v>1451</v>
      </c>
      <c r="E2307" s="15" t="s">
        <v>1694</v>
      </c>
    </row>
    <row r="2308" spans="1:5" x14ac:dyDescent="0.25">
      <c r="A2308" s="36" t="e">
        <f>VLOOKUP($C2308,'Variable Information'!$A$2:$E$480,5,FALSE)</f>
        <v>#N/A</v>
      </c>
      <c r="B2308" s="36" t="e">
        <f>VLOOKUP($C2308,'Variable Information'!$A$1:$C$480,3,FALSE)</f>
        <v>#N/A</v>
      </c>
      <c r="C2308" s="35"/>
      <c r="D2308" s="30" t="s">
        <v>1456</v>
      </c>
      <c r="E2308" s="15" t="s">
        <v>1695</v>
      </c>
    </row>
    <row r="2309" spans="1:5" x14ac:dyDescent="0.25">
      <c r="A2309" s="36" t="e">
        <f>VLOOKUP($C2309,'Variable Information'!$A$2:$E$480,5,FALSE)</f>
        <v>#N/A</v>
      </c>
      <c r="B2309" s="36" t="e">
        <f>VLOOKUP($C2309,'Variable Information'!$A$1:$C$480,3,FALSE)</f>
        <v>#N/A</v>
      </c>
      <c r="C2309" s="35"/>
      <c r="D2309" s="30" t="s">
        <v>1458</v>
      </c>
      <c r="E2309" s="15" t="s">
        <v>1696</v>
      </c>
    </row>
    <row r="2310" spans="1:5" x14ac:dyDescent="0.25">
      <c r="A2310" s="36" t="str">
        <f>VLOOKUP($C2310,'Variable Information'!$A$2:$E$480,5,FALSE)</f>
        <v>AJE_hardship_1</v>
      </c>
      <c r="B2310" s="36" t="str">
        <f>VLOOKUP($C2310,'Variable Information'!$A$1:$C$480,3,FALSE)</f>
        <v>Q32. Did you experience any of the following because of, or from trying to deal with, this issue? - Health difficulties or injury</v>
      </c>
      <c r="C2310" s="35" t="s">
        <v>1301</v>
      </c>
      <c r="D2310" s="30" t="s">
        <v>1447</v>
      </c>
      <c r="E2310" s="15" t="s">
        <v>1557</v>
      </c>
    </row>
    <row r="2311" spans="1:5" x14ac:dyDescent="0.25">
      <c r="A2311" s="36" t="e">
        <f>VLOOKUP($C2311,'Variable Information'!$A$2:$E$480,5,FALSE)</f>
        <v>#N/A</v>
      </c>
      <c r="B2311" s="36" t="e">
        <f>VLOOKUP($C2311,'Variable Information'!$A$1:$C$480,3,FALSE)</f>
        <v>#N/A</v>
      </c>
      <c r="C2311" s="35"/>
      <c r="D2311" s="30" t="s">
        <v>1449</v>
      </c>
      <c r="E2311" s="15" t="s">
        <v>1558</v>
      </c>
    </row>
    <row r="2312" spans="1:5" x14ac:dyDescent="0.25">
      <c r="A2312" s="36" t="e">
        <f>VLOOKUP($C2312,'Variable Information'!$A$2:$E$480,5,FALSE)</f>
        <v>#N/A</v>
      </c>
      <c r="B2312" s="36" t="e">
        <f>VLOOKUP($C2312,'Variable Information'!$A$1:$C$480,3,FALSE)</f>
        <v>#N/A</v>
      </c>
      <c r="C2312" s="35"/>
      <c r="D2312" s="30" t="s">
        <v>1451</v>
      </c>
      <c r="E2312" s="15" t="s">
        <v>1559</v>
      </c>
    </row>
    <row r="2313" spans="1:5" x14ac:dyDescent="0.25">
      <c r="A2313" s="36" t="str">
        <f>VLOOKUP($C2313,'Variable Information'!$A$2:$E$480,5,FALSE)</f>
        <v>AJE_hardship_2</v>
      </c>
      <c r="B2313" s="36" t="str">
        <f>VLOOKUP($C2313,'Variable Information'!$A$1:$C$480,3,FALSE)</f>
        <v>Q32. Did you experience any of the following because of, or from trying to deal with, this issue? - Stress or emotional strain</v>
      </c>
      <c r="C2313" s="35" t="s">
        <v>1305</v>
      </c>
      <c r="D2313" s="30" t="s">
        <v>1447</v>
      </c>
      <c r="E2313" s="15" t="s">
        <v>1557</v>
      </c>
    </row>
    <row r="2314" spans="1:5" x14ac:dyDescent="0.25">
      <c r="A2314" s="36" t="e">
        <f>VLOOKUP($C2314,'Variable Information'!$A$2:$E$480,5,FALSE)</f>
        <v>#N/A</v>
      </c>
      <c r="B2314" s="36" t="e">
        <f>VLOOKUP($C2314,'Variable Information'!$A$1:$C$480,3,FALSE)</f>
        <v>#N/A</v>
      </c>
      <c r="C2314" s="35"/>
      <c r="D2314" s="30" t="s">
        <v>1449</v>
      </c>
      <c r="E2314" s="15" t="s">
        <v>1558</v>
      </c>
    </row>
    <row r="2315" spans="1:5" x14ac:dyDescent="0.25">
      <c r="A2315" s="36" t="e">
        <f>VLOOKUP($C2315,'Variable Information'!$A$2:$E$480,5,FALSE)</f>
        <v>#N/A</v>
      </c>
      <c r="B2315" s="36" t="e">
        <f>VLOOKUP($C2315,'Variable Information'!$A$1:$C$480,3,FALSE)</f>
        <v>#N/A</v>
      </c>
      <c r="C2315" s="35"/>
      <c r="D2315" s="30" t="s">
        <v>1451</v>
      </c>
      <c r="E2315" s="15" t="s">
        <v>1559</v>
      </c>
    </row>
    <row r="2316" spans="1:5" x14ac:dyDescent="0.25">
      <c r="A2316" s="36" t="str">
        <f>VLOOKUP($C2316,'Variable Information'!$A$2:$E$480,5,FALSE)</f>
        <v>AJE_hardship_3</v>
      </c>
      <c r="B2316" s="36" t="str">
        <f>VLOOKUP($C2316,'Variable Information'!$A$1:$C$480,3,FALSE)</f>
        <v>Q32. Did you experience any of the following because of, or from trying to deal with, this issue? - Damage to personal or family relationships</v>
      </c>
      <c r="C2316" s="35" t="s">
        <v>1308</v>
      </c>
      <c r="D2316" s="30" t="s">
        <v>1447</v>
      </c>
      <c r="E2316" s="15" t="s">
        <v>1557</v>
      </c>
    </row>
    <row r="2317" spans="1:5" x14ac:dyDescent="0.25">
      <c r="A2317" s="36" t="e">
        <f>VLOOKUP($C2317,'Variable Information'!$A$2:$E$480,5,FALSE)</f>
        <v>#N/A</v>
      </c>
      <c r="B2317" s="36" t="e">
        <f>VLOOKUP($C2317,'Variable Information'!$A$1:$C$480,3,FALSE)</f>
        <v>#N/A</v>
      </c>
      <c r="C2317" s="35"/>
      <c r="D2317" s="30" t="s">
        <v>1449</v>
      </c>
      <c r="E2317" s="15" t="s">
        <v>1558</v>
      </c>
    </row>
    <row r="2318" spans="1:5" x14ac:dyDescent="0.25">
      <c r="A2318" s="36" t="e">
        <f>VLOOKUP($C2318,'Variable Information'!$A$2:$E$480,5,FALSE)</f>
        <v>#N/A</v>
      </c>
      <c r="B2318" s="36" t="e">
        <f>VLOOKUP($C2318,'Variable Information'!$A$1:$C$480,3,FALSE)</f>
        <v>#N/A</v>
      </c>
      <c r="C2318" s="35"/>
      <c r="D2318" s="30" t="s">
        <v>1451</v>
      </c>
      <c r="E2318" s="15" t="s">
        <v>1559</v>
      </c>
    </row>
    <row r="2319" spans="1:5" x14ac:dyDescent="0.25">
      <c r="A2319" s="36" t="str">
        <f>VLOOKUP($C2319,'Variable Information'!$A$2:$E$480,5,FALSE)</f>
        <v>AJE_hardship_4</v>
      </c>
      <c r="B2319" s="36" t="str">
        <f>VLOOKUP($C2319,'Variable Information'!$A$1:$C$480,3,FALSE)</f>
        <v>Q32. Did you experience any of the following because of, or from trying to deal with, this issue? - Being threatened or feeling unsafe</v>
      </c>
      <c r="C2319" s="35" t="s">
        <v>1312</v>
      </c>
      <c r="D2319" s="30" t="s">
        <v>1447</v>
      </c>
      <c r="E2319" s="15" t="s">
        <v>1557</v>
      </c>
    </row>
    <row r="2320" spans="1:5" x14ac:dyDescent="0.25">
      <c r="A2320" s="36" t="e">
        <f>VLOOKUP($C2320,'Variable Information'!$A$2:$E$480,5,FALSE)</f>
        <v>#N/A</v>
      </c>
      <c r="B2320" s="36" t="e">
        <f>VLOOKUP($C2320,'Variable Information'!$A$1:$C$480,3,FALSE)</f>
        <v>#N/A</v>
      </c>
      <c r="C2320" s="35"/>
      <c r="D2320" s="30" t="s">
        <v>1449</v>
      </c>
      <c r="E2320" s="15" t="s">
        <v>1558</v>
      </c>
    </row>
    <row r="2321" spans="1:5" x14ac:dyDescent="0.25">
      <c r="A2321" s="36" t="e">
        <f>VLOOKUP($C2321,'Variable Information'!$A$2:$E$480,5,FALSE)</f>
        <v>#N/A</v>
      </c>
      <c r="B2321" s="36" t="e">
        <f>VLOOKUP($C2321,'Variable Information'!$A$1:$C$480,3,FALSE)</f>
        <v>#N/A</v>
      </c>
      <c r="C2321" s="35"/>
      <c r="D2321" s="30" t="s">
        <v>1451</v>
      </c>
      <c r="E2321" s="15" t="s">
        <v>1559</v>
      </c>
    </row>
    <row r="2322" spans="1:5" x14ac:dyDescent="0.25">
      <c r="A2322" s="36" t="str">
        <f>VLOOKUP($C2322,'Variable Information'!$A$2:$E$480,5,FALSE)</f>
        <v>AJE_hardship_5</v>
      </c>
      <c r="B2322" s="36" t="str">
        <f>VLOOKUP($C2322,'Variable Information'!$A$1:$C$480,3,FALSE)</f>
        <v>Q32. Did you experience any of the following because of, or from trying to deal with, this issue? - Damage to property</v>
      </c>
      <c r="C2322" s="35" t="s">
        <v>1315</v>
      </c>
      <c r="D2322" s="30" t="s">
        <v>1447</v>
      </c>
      <c r="E2322" s="15" t="s">
        <v>1557</v>
      </c>
    </row>
    <row r="2323" spans="1:5" x14ac:dyDescent="0.25">
      <c r="A2323" s="36" t="e">
        <f>VLOOKUP($C2323,'Variable Information'!$A$2:$E$480,5,FALSE)</f>
        <v>#N/A</v>
      </c>
      <c r="B2323" s="36" t="e">
        <f>VLOOKUP($C2323,'Variable Information'!$A$1:$C$480,3,FALSE)</f>
        <v>#N/A</v>
      </c>
      <c r="C2323" s="35"/>
      <c r="D2323" s="30" t="s">
        <v>1449</v>
      </c>
      <c r="E2323" s="15" t="s">
        <v>1558</v>
      </c>
    </row>
    <row r="2324" spans="1:5" x14ac:dyDescent="0.25">
      <c r="A2324" s="36" t="e">
        <f>VLOOKUP($C2324,'Variable Information'!$A$2:$E$480,5,FALSE)</f>
        <v>#N/A</v>
      </c>
      <c r="B2324" s="36" t="e">
        <f>VLOOKUP($C2324,'Variable Information'!$A$1:$C$480,3,FALSE)</f>
        <v>#N/A</v>
      </c>
      <c r="C2324" s="35"/>
      <c r="D2324" s="30" t="s">
        <v>1451</v>
      </c>
      <c r="E2324" s="15" t="s">
        <v>1559</v>
      </c>
    </row>
    <row r="2325" spans="1:5" x14ac:dyDescent="0.25">
      <c r="A2325" s="36" t="str">
        <f>VLOOKUP($C2325,'Variable Information'!$A$2:$E$480,5,FALSE)</f>
        <v>AJE_hardship_6</v>
      </c>
      <c r="B2325" s="36" t="str">
        <f>VLOOKUP($C2325,'Variable Information'!$A$1:$C$480,3,FALSE)</f>
        <v>Q32. Did you experience any of the following because of, or from trying to deal with, this issue? - Changes to your housing situation</v>
      </c>
      <c r="C2325" s="35" t="s">
        <v>1318</v>
      </c>
      <c r="D2325" s="30" t="s">
        <v>1447</v>
      </c>
      <c r="E2325" s="15" t="s">
        <v>1557</v>
      </c>
    </row>
    <row r="2326" spans="1:5" x14ac:dyDescent="0.25">
      <c r="A2326" s="36" t="e">
        <f>VLOOKUP($C2326,'Variable Information'!$A$2:$E$480,5,FALSE)</f>
        <v>#N/A</v>
      </c>
      <c r="B2326" s="36" t="e">
        <f>VLOOKUP($C2326,'Variable Information'!$A$1:$C$480,3,FALSE)</f>
        <v>#N/A</v>
      </c>
      <c r="C2326" s="35"/>
      <c r="D2326" s="30" t="s">
        <v>1449</v>
      </c>
      <c r="E2326" s="15" t="s">
        <v>1558</v>
      </c>
    </row>
    <row r="2327" spans="1:5" x14ac:dyDescent="0.25">
      <c r="A2327" s="36" t="e">
        <f>VLOOKUP($C2327,'Variable Information'!$A$2:$E$480,5,FALSE)</f>
        <v>#N/A</v>
      </c>
      <c r="B2327" s="36" t="e">
        <f>VLOOKUP($C2327,'Variable Information'!$A$1:$C$480,3,FALSE)</f>
        <v>#N/A</v>
      </c>
      <c r="C2327" s="35"/>
      <c r="D2327" s="30" t="s">
        <v>1451</v>
      </c>
      <c r="E2327" s="15" t="s">
        <v>1559</v>
      </c>
    </row>
    <row r="2328" spans="1:5" x14ac:dyDescent="0.25">
      <c r="A2328" s="36" t="str">
        <f>VLOOKUP($C2328,'Variable Information'!$A$2:$E$480,5,FALSE)</f>
        <v>AJE_hardship_7</v>
      </c>
      <c r="B2328" s="36" t="str">
        <f>VLOOKUP($C2328,'Variable Information'!$A$1:$C$480,3,FALSE)</f>
        <v>Q32. Did you experience any of the following because of, or from trying to deal with, this issue? - Loss of employment</v>
      </c>
      <c r="C2328" s="35" t="s">
        <v>1321</v>
      </c>
      <c r="D2328" s="30" t="s">
        <v>1447</v>
      </c>
      <c r="E2328" s="15" t="s">
        <v>1557</v>
      </c>
    </row>
    <row r="2329" spans="1:5" x14ac:dyDescent="0.25">
      <c r="A2329" s="36" t="e">
        <f>VLOOKUP($C2329,'Variable Information'!$A$2:$E$480,5,FALSE)</f>
        <v>#N/A</v>
      </c>
      <c r="B2329" s="36" t="e">
        <f>VLOOKUP($C2329,'Variable Information'!$A$1:$C$480,3,FALSE)</f>
        <v>#N/A</v>
      </c>
      <c r="C2329" s="35"/>
      <c r="D2329" s="30" t="s">
        <v>1449</v>
      </c>
      <c r="E2329" s="15" t="s">
        <v>1558</v>
      </c>
    </row>
    <row r="2330" spans="1:5" x14ac:dyDescent="0.25">
      <c r="A2330" s="36" t="e">
        <f>VLOOKUP($C2330,'Variable Information'!$A$2:$E$480,5,FALSE)</f>
        <v>#N/A</v>
      </c>
      <c r="B2330" s="36" t="e">
        <f>VLOOKUP($C2330,'Variable Information'!$A$1:$C$480,3,FALSE)</f>
        <v>#N/A</v>
      </c>
      <c r="C2330" s="35"/>
      <c r="D2330" s="30" t="s">
        <v>1451</v>
      </c>
      <c r="E2330" s="15" t="s">
        <v>1559</v>
      </c>
    </row>
    <row r="2331" spans="1:5" x14ac:dyDescent="0.25">
      <c r="A2331" s="36" t="str">
        <f>VLOOKUP($C2331,'Variable Information'!$A$2:$E$480,5,FALSE)</f>
        <v>AJE_hardship_8</v>
      </c>
      <c r="B2331" s="36" t="str">
        <f>VLOOKUP($C2331,'Variable Information'!$A$1:$C$480,3,FALSE)</f>
        <v>Q32. Did you experience any of the following because of, or from trying to deal with, this issue? - Loss of money</v>
      </c>
      <c r="C2331" s="35" t="s">
        <v>1325</v>
      </c>
      <c r="D2331" s="30" t="s">
        <v>1447</v>
      </c>
      <c r="E2331" s="15" t="s">
        <v>1557</v>
      </c>
    </row>
    <row r="2332" spans="1:5" x14ac:dyDescent="0.25">
      <c r="A2332" s="36" t="e">
        <f>VLOOKUP($C2332,'Variable Information'!$A$2:$E$480,5,FALSE)</f>
        <v>#N/A</v>
      </c>
      <c r="B2332" s="36" t="e">
        <f>VLOOKUP($C2332,'Variable Information'!$A$1:$C$480,3,FALSE)</f>
        <v>#N/A</v>
      </c>
      <c r="C2332" s="35"/>
      <c r="D2332" s="30" t="s">
        <v>1449</v>
      </c>
      <c r="E2332" s="15" t="s">
        <v>1558</v>
      </c>
    </row>
    <row r="2333" spans="1:5" x14ac:dyDescent="0.25">
      <c r="A2333" s="36" t="e">
        <f>VLOOKUP($C2333,'Variable Information'!$A$2:$E$480,5,FALSE)</f>
        <v>#N/A</v>
      </c>
      <c r="B2333" s="36" t="e">
        <f>VLOOKUP($C2333,'Variable Information'!$A$1:$C$480,3,FALSE)</f>
        <v>#N/A</v>
      </c>
      <c r="C2333" s="35"/>
      <c r="D2333" s="30" t="s">
        <v>1451</v>
      </c>
      <c r="E2333" s="15" t="s">
        <v>1559</v>
      </c>
    </row>
    <row r="2334" spans="1:5" x14ac:dyDescent="0.25">
      <c r="A2334" s="36" t="str">
        <f>VLOOKUP($C2334,'Variable Information'!$A$2:$E$480,5,FALSE)</f>
        <v>AJE_hardship_9</v>
      </c>
      <c r="B2334" s="36" t="str">
        <f>VLOOKUP($C2334,'Variable Information'!$A$1:$C$480,3,FALSE)</f>
        <v>Q32. Did you experience any of the following because of, or from trying to deal with, this issue? - Loss of confidence or fear</v>
      </c>
      <c r="C2334" s="35" t="s">
        <v>1328</v>
      </c>
      <c r="D2334" s="30" t="s">
        <v>1447</v>
      </c>
      <c r="E2334" s="15" t="s">
        <v>1557</v>
      </c>
    </row>
    <row r="2335" spans="1:5" x14ac:dyDescent="0.25">
      <c r="A2335" s="36" t="e">
        <f>VLOOKUP($C2335,'Variable Information'!$A$2:$E$480,5,FALSE)</f>
        <v>#N/A</v>
      </c>
      <c r="B2335" s="36" t="e">
        <f>VLOOKUP($C2335,'Variable Information'!$A$1:$C$480,3,FALSE)</f>
        <v>#N/A</v>
      </c>
      <c r="C2335" s="35"/>
      <c r="D2335" s="30" t="s">
        <v>1449</v>
      </c>
      <c r="E2335" s="15" t="s">
        <v>1558</v>
      </c>
    </row>
    <row r="2336" spans="1:5" x14ac:dyDescent="0.25">
      <c r="A2336" s="36" t="e">
        <f>VLOOKUP($C2336,'Variable Information'!$A$2:$E$480,5,FALSE)</f>
        <v>#N/A</v>
      </c>
      <c r="B2336" s="36" t="e">
        <f>VLOOKUP($C2336,'Variable Information'!$A$1:$C$480,3,FALSE)</f>
        <v>#N/A</v>
      </c>
      <c r="C2336" s="35"/>
      <c r="D2336" s="30" t="s">
        <v>1451</v>
      </c>
      <c r="E2336" s="15" t="s">
        <v>1559</v>
      </c>
    </row>
    <row r="2337" spans="1:5" x14ac:dyDescent="0.25">
      <c r="A2337" s="36" t="str">
        <f>VLOOKUP($C2337,'Variable Information'!$A$2:$E$480,5,FALSE)</f>
        <v>AJE_hardship_10</v>
      </c>
      <c r="B2337" s="36" t="str">
        <f>VLOOKUP($C2337,'Variable Information'!$A$1:$C$480,3,FALSE)</f>
        <v>Q32. Did you experience any of the following because of, or from trying to deal with, this issue? - Deterioration in mental health (e.g. anxiety, depression)</v>
      </c>
      <c r="C2337" s="35" t="s">
        <v>1331</v>
      </c>
      <c r="D2337" s="30" t="s">
        <v>1447</v>
      </c>
      <c r="E2337" s="15" t="s">
        <v>1557</v>
      </c>
    </row>
    <row r="2338" spans="1:5" x14ac:dyDescent="0.25">
      <c r="A2338" s="36" t="e">
        <f>VLOOKUP($C2338,'Variable Information'!$A$2:$E$480,5,FALSE)</f>
        <v>#N/A</v>
      </c>
      <c r="B2338" s="36" t="e">
        <f>VLOOKUP($C2338,'Variable Information'!$A$1:$C$480,3,FALSE)</f>
        <v>#N/A</v>
      </c>
      <c r="C2338" s="35"/>
      <c r="D2338" s="30" t="s">
        <v>1449</v>
      </c>
      <c r="E2338" s="15" t="s">
        <v>1558</v>
      </c>
    </row>
    <row r="2339" spans="1:5" x14ac:dyDescent="0.25">
      <c r="A2339" s="36" t="e">
        <f>VLOOKUP($C2339,'Variable Information'!$A$2:$E$480,5,FALSE)</f>
        <v>#N/A</v>
      </c>
      <c r="B2339" s="36" t="e">
        <f>VLOOKUP($C2339,'Variable Information'!$A$1:$C$480,3,FALSE)</f>
        <v>#N/A</v>
      </c>
      <c r="C2339" s="35"/>
      <c r="D2339" s="30" t="s">
        <v>1451</v>
      </c>
      <c r="E2339" s="15" t="s">
        <v>1559</v>
      </c>
    </row>
    <row r="2340" spans="1:5" x14ac:dyDescent="0.25">
      <c r="A2340" s="36" t="str">
        <f>VLOOKUP($C2340,'Variable Information'!$A$2:$E$480,5,FALSE)</f>
        <v>AJE_hardship_11</v>
      </c>
      <c r="B2340" s="36" t="str">
        <f>VLOOKUP($C2340,'Variable Information'!$A$1:$C$480,3,FALSE)</f>
        <v>Q32. Did you experience any of the following because of, or from trying to deal with, this issue? - Feeling isolated or loss of support networks</v>
      </c>
      <c r="C2340" s="35" t="s">
        <v>1334</v>
      </c>
      <c r="D2340" s="30" t="s">
        <v>1447</v>
      </c>
      <c r="E2340" s="15" t="s">
        <v>1557</v>
      </c>
    </row>
    <row r="2341" spans="1:5" x14ac:dyDescent="0.25">
      <c r="A2341" s="36" t="e">
        <f>VLOOKUP($C2341,'Variable Information'!$A$2:$E$480,5,FALSE)</f>
        <v>#N/A</v>
      </c>
      <c r="B2341" s="36" t="e">
        <f>VLOOKUP($C2341,'Variable Information'!$A$1:$C$480,3,FALSE)</f>
        <v>#N/A</v>
      </c>
      <c r="C2341" s="35"/>
      <c r="D2341" s="30" t="s">
        <v>1449</v>
      </c>
      <c r="E2341" s="15" t="s">
        <v>1558</v>
      </c>
    </row>
    <row r="2342" spans="1:5" x14ac:dyDescent="0.25">
      <c r="A2342" s="36" t="e">
        <f>VLOOKUP($C2342,'Variable Information'!$A$2:$E$480,5,FALSE)</f>
        <v>#N/A</v>
      </c>
      <c r="B2342" s="36" t="e">
        <f>VLOOKUP($C2342,'Variable Information'!$A$1:$C$480,3,FALSE)</f>
        <v>#N/A</v>
      </c>
      <c r="C2342" s="35"/>
      <c r="D2342" s="30" t="s">
        <v>1451</v>
      </c>
      <c r="E2342" s="15" t="s">
        <v>1559</v>
      </c>
    </row>
    <row r="2343" spans="1:5" x14ac:dyDescent="0.25">
      <c r="A2343" s="36" t="str">
        <f>VLOOKUP($C2343,'Variable Information'!$A$2:$E$480,5,FALSE)</f>
        <v>AJE_hardship_12</v>
      </c>
      <c r="B2343" s="36" t="str">
        <f>VLOOKUP($C2343,'Variable Information'!$A$1:$C$480,3,FALSE)</f>
        <v>Q32. Did you experience any of the following because of, or from trying to deal with, this issue? - Use of addictive substances (e.g. alcohol or drugs)</v>
      </c>
      <c r="C2343" s="35" t="s">
        <v>1337</v>
      </c>
      <c r="D2343" s="30" t="s">
        <v>1447</v>
      </c>
      <c r="E2343" s="15" t="s">
        <v>1557</v>
      </c>
    </row>
    <row r="2344" spans="1:5" x14ac:dyDescent="0.25">
      <c r="A2344" s="36" t="e">
        <f>VLOOKUP($C2344,'Variable Information'!$A$2:$E$480,5,FALSE)</f>
        <v>#N/A</v>
      </c>
      <c r="B2344" s="36" t="e">
        <f>VLOOKUP($C2344,'Variable Information'!$A$1:$C$480,3,FALSE)</f>
        <v>#N/A</v>
      </c>
      <c r="C2344" s="35"/>
      <c r="D2344" s="30" t="s">
        <v>1449</v>
      </c>
      <c r="E2344" s="15" t="s">
        <v>1558</v>
      </c>
    </row>
    <row r="2345" spans="1:5" x14ac:dyDescent="0.25">
      <c r="A2345" s="36" t="e">
        <f>VLOOKUP($C2345,'Variable Information'!$A$2:$E$480,5,FALSE)</f>
        <v>#N/A</v>
      </c>
      <c r="B2345" s="36" t="e">
        <f>VLOOKUP($C2345,'Variable Information'!$A$1:$C$480,3,FALSE)</f>
        <v>#N/A</v>
      </c>
      <c r="C2345" s="35"/>
      <c r="D2345" s="30" t="s">
        <v>1451</v>
      </c>
      <c r="E2345" s="15" t="s">
        <v>1559</v>
      </c>
    </row>
    <row r="2346" spans="1:5" x14ac:dyDescent="0.25">
      <c r="A2346" s="36" t="str">
        <f>VLOOKUP($C2346,'Variable Information'!$A$2:$E$480,5,FALSE)</f>
        <v>AJE_hardship_13</v>
      </c>
      <c r="B2346" s="36" t="str">
        <f>VLOOKUP($C2346,'Variable Information'!$A$1:$C$480,3,FALSE)</f>
        <v>Q32. Did you experience any of the following because of, or from trying to deal with, this issue? - Delay or disruption to education or training</v>
      </c>
      <c r="C2346" s="35" t="s">
        <v>1341</v>
      </c>
      <c r="D2346" s="30" t="s">
        <v>1447</v>
      </c>
      <c r="E2346" s="15" t="s">
        <v>1557</v>
      </c>
    </row>
    <row r="2347" spans="1:5" x14ac:dyDescent="0.25">
      <c r="A2347" s="36" t="e">
        <f>VLOOKUP($C2347,'Variable Information'!$A$2:$E$480,5,FALSE)</f>
        <v>#N/A</v>
      </c>
      <c r="B2347" s="36" t="e">
        <f>VLOOKUP($C2347,'Variable Information'!$A$1:$C$480,3,FALSE)</f>
        <v>#N/A</v>
      </c>
      <c r="C2347" s="35"/>
      <c r="D2347" s="30" t="s">
        <v>1449</v>
      </c>
      <c r="E2347" s="15" t="s">
        <v>1558</v>
      </c>
    </row>
    <row r="2348" spans="1:5" x14ac:dyDescent="0.25">
      <c r="A2348" s="36" t="e">
        <f>VLOOKUP($C2348,'Variable Information'!$A$2:$E$480,5,FALSE)</f>
        <v>#N/A</v>
      </c>
      <c r="B2348" s="36" t="e">
        <f>VLOOKUP($C2348,'Variable Information'!$A$1:$C$480,3,FALSE)</f>
        <v>#N/A</v>
      </c>
      <c r="C2348" s="35"/>
      <c r="D2348" s="30" t="s">
        <v>1451</v>
      </c>
      <c r="E2348" s="15" t="s">
        <v>1559</v>
      </c>
    </row>
    <row r="2349" spans="1:5" x14ac:dyDescent="0.25">
      <c r="A2349" s="36" t="str">
        <f>VLOOKUP($C2349,'Variable Information'!$A$2:$E$480,5,FALSE)</f>
        <v>AJE_hardship_14</v>
      </c>
      <c r="B2349" s="36" t="str">
        <f>VLOOKUP($C2349,'Variable Information'!$A$1:$C$480,3,FALSE)</f>
        <v>Q32. Did you experience any of the following because of, or from trying to deal with, this issue? - Delay or disruption in accessing public services (e.g. healthcare, social services)</v>
      </c>
      <c r="C2349" s="35" t="s">
        <v>1344</v>
      </c>
      <c r="D2349" s="30" t="s">
        <v>1447</v>
      </c>
      <c r="E2349" s="15" t="s">
        <v>1557</v>
      </c>
    </row>
    <row r="2350" spans="1:5" x14ac:dyDescent="0.25">
      <c r="A2350" s="36" t="e">
        <f>VLOOKUP($C2350,'Variable Information'!$A$2:$E$480,5,FALSE)</f>
        <v>#N/A</v>
      </c>
      <c r="B2350" s="36" t="e">
        <f>VLOOKUP($C2350,'Variable Information'!$A$1:$C$480,3,FALSE)</f>
        <v>#N/A</v>
      </c>
      <c r="C2350" s="35"/>
      <c r="D2350" s="30" t="s">
        <v>1449</v>
      </c>
      <c r="E2350" s="15" t="s">
        <v>1558</v>
      </c>
    </row>
    <row r="2351" spans="1:5" x14ac:dyDescent="0.25">
      <c r="A2351" s="36" t="e">
        <f>VLOOKUP($C2351,'Variable Information'!$A$2:$E$480,5,FALSE)</f>
        <v>#N/A</v>
      </c>
      <c r="B2351" s="36" t="e">
        <f>VLOOKUP($C2351,'Variable Information'!$A$1:$C$480,3,FALSE)</f>
        <v>#N/A</v>
      </c>
      <c r="C2351" s="35"/>
      <c r="D2351" s="30" t="s">
        <v>1451</v>
      </c>
      <c r="E2351" s="15" t="s">
        <v>1559</v>
      </c>
    </row>
    <row r="2352" spans="1:5" x14ac:dyDescent="0.25">
      <c r="A2352" s="36" t="str">
        <f>VLOOKUP($C2352,'Variable Information'!$A$2:$E$480,5,FALSE)</f>
        <v>AJE_hardship_15</v>
      </c>
      <c r="B2352" s="36" t="str">
        <f>VLOOKUP($C2352,'Variable Information'!$A$1:$C$480,3,FALSE)</f>
        <v>Q32. Did you experience any of the following because of, or from trying to deal with, this issue? - Finding everyday activities more difficult</v>
      </c>
      <c r="C2352" s="35" t="s">
        <v>1347</v>
      </c>
      <c r="D2352" s="30" t="s">
        <v>1447</v>
      </c>
      <c r="E2352" s="15" t="s">
        <v>1557</v>
      </c>
    </row>
    <row r="2353" spans="1:5" x14ac:dyDescent="0.25">
      <c r="A2353" s="36" t="e">
        <f>VLOOKUP($C2353,'Variable Information'!$A$2:$E$480,5,FALSE)</f>
        <v>#N/A</v>
      </c>
      <c r="B2353" s="36" t="e">
        <f>VLOOKUP($C2353,'Variable Information'!$A$1:$C$480,3,FALSE)</f>
        <v>#N/A</v>
      </c>
      <c r="C2353" s="35"/>
      <c r="D2353" s="30" t="s">
        <v>1449</v>
      </c>
      <c r="E2353" s="15" t="s">
        <v>1558</v>
      </c>
    </row>
    <row r="2354" spans="1:5" x14ac:dyDescent="0.25">
      <c r="A2354" s="36" t="e">
        <f>VLOOKUP($C2354,'Variable Information'!$A$2:$E$480,5,FALSE)</f>
        <v>#N/A</v>
      </c>
      <c r="B2354" s="36" t="e">
        <f>VLOOKUP($C2354,'Variable Information'!$A$1:$C$480,3,FALSE)</f>
        <v>#N/A</v>
      </c>
      <c r="C2354" s="35"/>
      <c r="D2354" s="30" t="s">
        <v>1451</v>
      </c>
      <c r="E2354" s="15" t="s">
        <v>1559</v>
      </c>
    </row>
    <row r="2355" spans="1:5" x14ac:dyDescent="0.25">
      <c r="A2355" s="36" t="str">
        <f>VLOOKUP($C2355,'Variable Information'!$A$2:$E$480,5,FALSE)</f>
        <v>AJE_hardship_16</v>
      </c>
      <c r="B2355" s="36" t="str">
        <f>VLOOKUP($C2355,'Variable Information'!$A$1:$C$480,3,FALSE)</f>
        <v>Q32. Did you experience any of the following because of, or from trying to deal with, this issue? - Feeling less trust in public institutions (e.g. justice system, police, government)</v>
      </c>
      <c r="C2355" s="35" t="s">
        <v>1350</v>
      </c>
      <c r="D2355" s="30" t="s">
        <v>1447</v>
      </c>
      <c r="E2355" s="15" t="s">
        <v>1557</v>
      </c>
    </row>
    <row r="2356" spans="1:5" x14ac:dyDescent="0.25">
      <c r="A2356" s="36" t="e">
        <f>VLOOKUP($C2356,'Variable Information'!$A$2:$E$480,5,FALSE)</f>
        <v>#N/A</v>
      </c>
      <c r="B2356" s="36" t="e">
        <f>VLOOKUP($C2356,'Variable Information'!$A$1:$C$480,3,FALSE)</f>
        <v>#N/A</v>
      </c>
      <c r="C2356" s="35"/>
      <c r="D2356" s="30" t="s">
        <v>1449</v>
      </c>
      <c r="E2356" s="15" t="s">
        <v>1558</v>
      </c>
    </row>
    <row r="2357" spans="1:5" x14ac:dyDescent="0.25">
      <c r="A2357" s="36" t="e">
        <f>VLOOKUP($C2357,'Variable Information'!$A$2:$E$480,5,FALSE)</f>
        <v>#N/A</v>
      </c>
      <c r="B2357" s="36" t="e">
        <f>VLOOKUP($C2357,'Variable Information'!$A$1:$C$480,3,FALSE)</f>
        <v>#N/A</v>
      </c>
      <c r="C2357" s="35"/>
      <c r="D2357" s="30" t="s">
        <v>1451</v>
      </c>
      <c r="E2357" s="15" t="s">
        <v>1559</v>
      </c>
    </row>
    <row r="2358" spans="1:5" x14ac:dyDescent="0.25">
      <c r="A2358" s="36" t="str">
        <f>VLOOKUP($C2358,'Variable Information'!$A$2:$E$480,5,FALSE)</f>
        <v>disability</v>
      </c>
      <c r="B2358" s="36" t="str">
        <f>VLOOKUP($C2358,'Variable Information'!$A$1:$C$480,3,FALSE)</f>
        <v>Q15. Do you have any long-term health conditions that limit your ability to carry out everyday activities?</v>
      </c>
      <c r="C2358" s="35" t="s">
        <v>1353</v>
      </c>
      <c r="D2358" s="30" t="s">
        <v>1447</v>
      </c>
      <c r="E2358" s="15" t="s">
        <v>1697</v>
      </c>
    </row>
    <row r="2359" spans="1:5" x14ac:dyDescent="0.25">
      <c r="A2359" s="36" t="e">
        <f>VLOOKUP($C2359,'Variable Information'!$A$2:$E$480,5,FALSE)</f>
        <v>#N/A</v>
      </c>
      <c r="B2359" s="36" t="e">
        <f>VLOOKUP($C2359,'Variable Information'!$A$1:$C$480,3,FALSE)</f>
        <v>#N/A</v>
      </c>
      <c r="C2359" s="35"/>
      <c r="D2359" s="30" t="s">
        <v>1449</v>
      </c>
      <c r="E2359" s="15" t="s">
        <v>1698</v>
      </c>
    </row>
    <row r="2360" spans="1:5" x14ac:dyDescent="0.25">
      <c r="A2360" s="36" t="e">
        <f>VLOOKUP($C2360,'Variable Information'!$A$2:$E$480,5,FALSE)</f>
        <v>#N/A</v>
      </c>
      <c r="B2360" s="36" t="e">
        <f>VLOOKUP($C2360,'Variable Information'!$A$1:$C$480,3,FALSE)</f>
        <v>#N/A</v>
      </c>
      <c r="C2360" s="35"/>
      <c r="D2360" s="30" t="s">
        <v>1451</v>
      </c>
      <c r="E2360" s="15" t="s">
        <v>1558</v>
      </c>
    </row>
    <row r="2361" spans="1:5" x14ac:dyDescent="0.25">
      <c r="A2361" s="36" t="e">
        <f>VLOOKUP($C2361,'Variable Information'!$A$2:$E$480,5,FALSE)</f>
        <v>#N/A</v>
      </c>
      <c r="B2361" s="36" t="e">
        <f>VLOOKUP($C2361,'Variable Information'!$A$1:$C$480,3,FALSE)</f>
        <v>#N/A</v>
      </c>
      <c r="C2361" s="35"/>
      <c r="D2361" s="30" t="s">
        <v>1456</v>
      </c>
      <c r="E2361" s="15" t="s">
        <v>1559</v>
      </c>
    </row>
    <row r="2362" spans="1:5" x14ac:dyDescent="0.25">
      <c r="A2362" s="36" t="str">
        <f>VLOOKUP($C2362,'Variable Information'!$A$2:$E$480,5,FALSE)</f>
        <v>ethni</v>
      </c>
      <c r="B2362" s="36" t="str">
        <f>VLOOKUP($C2362,'Variable Information'!$A$1:$C$480,3,FALSE)</f>
        <v>Q14. What is your ethnic group/background?</v>
      </c>
      <c r="C2362" s="35" t="s">
        <v>1356</v>
      </c>
      <c r="D2362" s="30" t="s">
        <v>1447</v>
      </c>
      <c r="E2362" s="15" t="s">
        <v>1699</v>
      </c>
    </row>
    <row r="2363" spans="1:5" x14ac:dyDescent="0.25">
      <c r="A2363" s="36" t="e">
        <f>VLOOKUP($C2363,'Variable Information'!$A$2:$E$480,5,FALSE)</f>
        <v>#N/A</v>
      </c>
      <c r="B2363" s="36" t="e">
        <f>VLOOKUP($C2363,'Variable Information'!$A$1:$C$480,3,FALSE)</f>
        <v>#N/A</v>
      </c>
      <c r="C2363" s="35"/>
      <c r="D2363" s="30" t="s">
        <v>1449</v>
      </c>
      <c r="E2363" s="15" t="s">
        <v>1700</v>
      </c>
    </row>
    <row r="2364" spans="1:5" x14ac:dyDescent="0.25">
      <c r="A2364" s="36" t="e">
        <f>VLOOKUP($C2364,'Variable Information'!$A$2:$E$480,5,FALSE)</f>
        <v>#N/A</v>
      </c>
      <c r="B2364" s="36" t="e">
        <f>VLOOKUP($C2364,'Variable Information'!$A$1:$C$480,3,FALSE)</f>
        <v>#N/A</v>
      </c>
      <c r="C2364" s="35"/>
      <c r="D2364" s="30" t="s">
        <v>1451</v>
      </c>
      <c r="E2364" s="15" t="s">
        <v>1701</v>
      </c>
    </row>
    <row r="2365" spans="1:5" x14ac:dyDescent="0.25">
      <c r="A2365" s="36" t="e">
        <f>VLOOKUP($C2365,'Variable Information'!$A$2:$E$480,5,FALSE)</f>
        <v>#N/A</v>
      </c>
      <c r="B2365" s="36" t="e">
        <f>VLOOKUP($C2365,'Variable Information'!$A$1:$C$480,3,FALSE)</f>
        <v>#N/A</v>
      </c>
      <c r="C2365" s="35"/>
      <c r="D2365" s="30" t="s">
        <v>1456</v>
      </c>
      <c r="E2365" s="15" t="s">
        <v>1702</v>
      </c>
    </row>
    <row r="2366" spans="1:5" x14ac:dyDescent="0.25">
      <c r="A2366" s="36" t="e">
        <f>VLOOKUP($C2366,'Variable Information'!$A$2:$E$480,5,FALSE)</f>
        <v>#N/A</v>
      </c>
      <c r="B2366" s="36" t="e">
        <f>VLOOKUP($C2366,'Variable Information'!$A$1:$C$480,3,FALSE)</f>
        <v>#N/A</v>
      </c>
      <c r="C2366" s="35"/>
      <c r="D2366" s="30" t="s">
        <v>1458</v>
      </c>
      <c r="E2366" s="15" t="s">
        <v>1703</v>
      </c>
    </row>
    <row r="2367" spans="1:5" x14ac:dyDescent="0.25">
      <c r="A2367" s="36" t="e">
        <f>VLOOKUP($C2367,'Variable Information'!$A$2:$E$480,5,FALSE)</f>
        <v>#N/A</v>
      </c>
      <c r="B2367" s="36" t="e">
        <f>VLOOKUP($C2367,'Variable Information'!$A$1:$C$480,3,FALSE)</f>
        <v>#N/A</v>
      </c>
      <c r="C2367" s="35"/>
      <c r="D2367" s="30" t="s">
        <v>1460</v>
      </c>
      <c r="E2367" s="15" t="s">
        <v>1704</v>
      </c>
    </row>
    <row r="2368" spans="1:5" x14ac:dyDescent="0.25">
      <c r="A2368" s="36" t="e">
        <f>VLOOKUP($C2368,'Variable Information'!$A$2:$E$480,5,FALSE)</f>
        <v>#N/A</v>
      </c>
      <c r="B2368" s="36" t="e">
        <f>VLOOKUP($C2368,'Variable Information'!$A$1:$C$480,3,FALSE)</f>
        <v>#N/A</v>
      </c>
      <c r="C2368" s="35"/>
      <c r="D2368" s="30" t="s">
        <v>1462</v>
      </c>
      <c r="E2368" s="15" t="s">
        <v>1705</v>
      </c>
    </row>
    <row r="2369" spans="1:5" x14ac:dyDescent="0.25">
      <c r="A2369" s="36" t="e">
        <f>VLOOKUP($C2369,'Variable Information'!$A$2:$E$480,5,FALSE)</f>
        <v>#N/A</v>
      </c>
      <c r="B2369" s="36" t="e">
        <f>VLOOKUP($C2369,'Variable Information'!$A$1:$C$480,3,FALSE)</f>
        <v>#N/A</v>
      </c>
      <c r="C2369" s="35"/>
      <c r="D2369" s="30" t="s">
        <v>1471</v>
      </c>
      <c r="E2369" s="15" t="s">
        <v>1706</v>
      </c>
    </row>
    <row r="2370" spans="1:5" x14ac:dyDescent="0.25">
      <c r="A2370" s="36" t="e">
        <f>VLOOKUP($C2370,'Variable Information'!$A$2:$E$480,5,FALSE)</f>
        <v>#N/A</v>
      </c>
      <c r="B2370" s="36" t="e">
        <f>VLOOKUP($C2370,'Variable Information'!$A$1:$C$480,3,FALSE)</f>
        <v>#N/A</v>
      </c>
      <c r="C2370" s="35"/>
      <c r="D2370" s="30" t="s">
        <v>1473</v>
      </c>
      <c r="E2370" s="15" t="s">
        <v>1707</v>
      </c>
    </row>
    <row r="2371" spans="1:5" x14ac:dyDescent="0.25">
      <c r="A2371" s="36" t="e">
        <f>VLOOKUP($C2371,'Variable Information'!$A$2:$E$480,5,FALSE)</f>
        <v>#N/A</v>
      </c>
      <c r="B2371" s="36" t="e">
        <f>VLOOKUP($C2371,'Variable Information'!$A$1:$C$480,3,FALSE)</f>
        <v>#N/A</v>
      </c>
      <c r="C2371" s="35"/>
      <c r="D2371" s="30" t="s">
        <v>1475</v>
      </c>
      <c r="E2371" s="15" t="s">
        <v>1708</v>
      </c>
    </row>
    <row r="2372" spans="1:5" x14ac:dyDescent="0.25">
      <c r="A2372" s="36" t="e">
        <f>VLOOKUP($C2372,'Variable Information'!$A$2:$E$480,5,FALSE)</f>
        <v>#N/A</v>
      </c>
      <c r="B2372" s="36" t="e">
        <f>VLOOKUP($C2372,'Variable Information'!$A$1:$C$480,3,FALSE)</f>
        <v>#N/A</v>
      </c>
      <c r="C2372" s="35"/>
      <c r="D2372" s="30" t="s">
        <v>1477</v>
      </c>
      <c r="E2372" s="15" t="s">
        <v>1709</v>
      </c>
    </row>
    <row r="2373" spans="1:5" x14ac:dyDescent="0.25">
      <c r="A2373" s="36" t="e">
        <f>VLOOKUP($C2373,'Variable Information'!$A$2:$E$480,5,FALSE)</f>
        <v>#N/A</v>
      </c>
      <c r="B2373" s="36" t="e">
        <f>VLOOKUP($C2373,'Variable Information'!$A$1:$C$480,3,FALSE)</f>
        <v>#N/A</v>
      </c>
      <c r="C2373" s="35"/>
      <c r="D2373" s="30" t="s">
        <v>1503</v>
      </c>
      <c r="E2373" s="15" t="s">
        <v>1710</v>
      </c>
    </row>
    <row r="2374" spans="1:5" x14ac:dyDescent="0.25">
      <c r="A2374" s="36" t="e">
        <f>VLOOKUP($C2374,'Variable Information'!$A$2:$E$480,5,FALSE)</f>
        <v>#N/A</v>
      </c>
      <c r="B2374" s="36" t="e">
        <f>VLOOKUP($C2374,'Variable Information'!$A$1:$C$480,3,FALSE)</f>
        <v>#N/A</v>
      </c>
      <c r="C2374" s="35"/>
      <c r="D2374" s="30" t="s">
        <v>1524</v>
      </c>
      <c r="E2374" s="15" t="s">
        <v>1711</v>
      </c>
    </row>
    <row r="2375" spans="1:5" x14ac:dyDescent="0.25">
      <c r="A2375" s="36" t="e">
        <f>VLOOKUP($C2375,'Variable Information'!$A$2:$E$480,5,FALSE)</f>
        <v>#N/A</v>
      </c>
      <c r="B2375" s="36" t="e">
        <f>VLOOKUP($C2375,'Variable Information'!$A$1:$C$480,3,FALSE)</f>
        <v>#N/A</v>
      </c>
      <c r="C2375" s="35"/>
      <c r="D2375" s="30" t="s">
        <v>1526</v>
      </c>
      <c r="E2375" s="15" t="s">
        <v>1712</v>
      </c>
    </row>
    <row r="2376" spans="1:5" x14ac:dyDescent="0.25">
      <c r="A2376" s="36" t="e">
        <f>VLOOKUP($C2376,'Variable Information'!$A$2:$E$480,5,FALSE)</f>
        <v>#N/A</v>
      </c>
      <c r="B2376" s="36" t="e">
        <f>VLOOKUP($C2376,'Variable Information'!$A$1:$C$480,3,FALSE)</f>
        <v>#N/A</v>
      </c>
      <c r="C2376" s="35"/>
      <c r="D2376" s="30" t="s">
        <v>1528</v>
      </c>
      <c r="E2376" s="15" t="s">
        <v>1559</v>
      </c>
    </row>
    <row r="2377" spans="1:5" x14ac:dyDescent="0.25">
      <c r="A2377" s="36" t="str">
        <f>VLOOKUP($C2377,'Variable Information'!$A$2:$E$480,5,FALSE)</f>
        <v>nation</v>
      </c>
      <c r="B2377" s="36" t="str">
        <f>VLOOKUP($C2377,'Variable Information'!$A$1:$C$480,3,FALSE)</f>
        <v>Q6. Are you an Irish citizen?</v>
      </c>
      <c r="C2377" s="35" t="s">
        <v>1359</v>
      </c>
      <c r="D2377" s="30" t="s">
        <v>1447</v>
      </c>
      <c r="E2377" s="15" t="s">
        <v>1557</v>
      </c>
    </row>
    <row r="2378" spans="1:5" x14ac:dyDescent="0.25">
      <c r="A2378" s="36" t="e">
        <f>VLOOKUP($C2378,'Variable Information'!$A$2:$E$480,5,FALSE)</f>
        <v>#N/A</v>
      </c>
      <c r="B2378" s="36" t="e">
        <f>VLOOKUP($C2378,'Variable Information'!$A$1:$C$480,3,FALSE)</f>
        <v>#N/A</v>
      </c>
      <c r="C2378" s="35"/>
      <c r="D2378" s="30" t="s">
        <v>1449</v>
      </c>
      <c r="E2378" s="15" t="s">
        <v>1558</v>
      </c>
    </row>
    <row r="2379" spans="1:5" x14ac:dyDescent="0.25">
      <c r="A2379" s="36" t="e">
        <f>VLOOKUP($C2379,'Variable Information'!$A$2:$E$480,5,FALSE)</f>
        <v>#N/A</v>
      </c>
      <c r="B2379" s="36" t="e">
        <f>VLOOKUP($C2379,'Variable Information'!$A$1:$C$480,3,FALSE)</f>
        <v>#N/A</v>
      </c>
      <c r="C2379" s="35"/>
      <c r="D2379" s="30" t="s">
        <v>1451</v>
      </c>
      <c r="E2379" s="15" t="s">
        <v>1559</v>
      </c>
    </row>
    <row r="2380" spans="1:5" x14ac:dyDescent="0.25">
      <c r="A2380" s="36" t="str">
        <f>VLOOKUP($C2380,'Variable Information'!$A$2:$E$480,5,FALSE)</f>
        <v>years_ireland</v>
      </c>
      <c r="B2380" s="36" t="str">
        <f>VLOOKUP($C2380,'Variable Information'!$A$1:$C$480,3,FALSE)</f>
        <v>Q10. Other than holidays or short visits abroad, since which year have you been living in the Republic of Ireland continuously?</v>
      </c>
      <c r="C2380" s="35" t="s">
        <v>1362</v>
      </c>
      <c r="D2380" s="30" t="s">
        <v>1447</v>
      </c>
      <c r="E2380" s="15" t="s">
        <v>1713</v>
      </c>
    </row>
    <row r="2381" spans="1:5" x14ac:dyDescent="0.25">
      <c r="A2381" s="36" t="e">
        <f>VLOOKUP($C2381,'Variable Information'!$A$2:$E$480,5,FALSE)</f>
        <v>#N/A</v>
      </c>
      <c r="B2381" s="36" t="e">
        <f>VLOOKUP($C2381,'Variable Information'!$A$1:$C$480,3,FALSE)</f>
        <v>#N/A</v>
      </c>
      <c r="C2381" s="35"/>
      <c r="D2381" s="30" t="s">
        <v>1449</v>
      </c>
      <c r="E2381" s="15" t="s">
        <v>1714</v>
      </c>
    </row>
    <row r="2382" spans="1:5" x14ac:dyDescent="0.25">
      <c r="A2382" s="36" t="e">
        <f>VLOOKUP($C2382,'Variable Information'!$A$2:$E$480,5,FALSE)</f>
        <v>#N/A</v>
      </c>
      <c r="B2382" s="36" t="e">
        <f>VLOOKUP($C2382,'Variable Information'!$A$1:$C$480,3,FALSE)</f>
        <v>#N/A</v>
      </c>
      <c r="C2382" s="35"/>
      <c r="D2382" s="30" t="s">
        <v>1451</v>
      </c>
      <c r="E2382" s="15" t="s">
        <v>1715</v>
      </c>
    </row>
    <row r="2383" spans="1:5" x14ac:dyDescent="0.25">
      <c r="A2383" s="36" t="e">
        <f>VLOOKUP($C2383,'Variable Information'!$A$2:$E$480,5,FALSE)</f>
        <v>#N/A</v>
      </c>
      <c r="B2383" s="36" t="e">
        <f>VLOOKUP($C2383,'Variable Information'!$A$1:$C$480,3,FALSE)</f>
        <v>#N/A</v>
      </c>
      <c r="C2383" s="35"/>
      <c r="D2383" s="30" t="s">
        <v>1456</v>
      </c>
      <c r="E2383" s="15" t="s">
        <v>1716</v>
      </c>
    </row>
    <row r="2384" spans="1:5" x14ac:dyDescent="0.25">
      <c r="A2384" s="36" t="e">
        <f>VLOOKUP($C2384,'Variable Information'!$A$2:$E$480,5,FALSE)</f>
        <v>#N/A</v>
      </c>
      <c r="B2384" s="36" t="e">
        <f>VLOOKUP($C2384,'Variable Information'!$A$1:$C$480,3,FALSE)</f>
        <v>#N/A</v>
      </c>
      <c r="C2384" s="35"/>
      <c r="D2384" s="30" t="s">
        <v>1458</v>
      </c>
      <c r="E2384" s="15" t="s">
        <v>1717</v>
      </c>
    </row>
    <row r="2385" spans="1:5" x14ac:dyDescent="0.25">
      <c r="A2385" s="36" t="e">
        <f>VLOOKUP($C2385,'Variable Information'!$A$2:$E$480,5,FALSE)</f>
        <v>#N/A</v>
      </c>
      <c r="B2385" s="36" t="e">
        <f>VLOOKUP($C2385,'Variable Information'!$A$1:$C$480,3,FALSE)</f>
        <v>#N/A</v>
      </c>
      <c r="C2385" s="35"/>
      <c r="D2385" s="30" t="s">
        <v>1460</v>
      </c>
      <c r="E2385" s="15" t="s">
        <v>1718</v>
      </c>
    </row>
    <row r="2386" spans="1:5" x14ac:dyDescent="0.25">
      <c r="A2386" s="36" t="e">
        <f>VLOOKUP($C2386,'Variable Information'!$A$2:$E$480,5,FALSE)</f>
        <v>#N/A</v>
      </c>
      <c r="B2386" s="36" t="e">
        <f>VLOOKUP($C2386,'Variable Information'!$A$1:$C$480,3,FALSE)</f>
        <v>#N/A</v>
      </c>
      <c r="C2386" s="35"/>
      <c r="D2386" s="30" t="s">
        <v>1462</v>
      </c>
      <c r="E2386" s="15" t="s">
        <v>1719</v>
      </c>
    </row>
    <row r="2387" spans="1:5" x14ac:dyDescent="0.25">
      <c r="A2387" s="36" t="e">
        <f>VLOOKUP($C2387,'Variable Information'!$A$2:$E$480,5,FALSE)</f>
        <v>#N/A</v>
      </c>
      <c r="B2387" s="36" t="e">
        <f>VLOOKUP($C2387,'Variable Information'!$A$1:$C$480,3,FALSE)</f>
        <v>#N/A</v>
      </c>
      <c r="C2387" s="35"/>
      <c r="D2387" s="30" t="s">
        <v>1471</v>
      </c>
      <c r="E2387" s="15" t="s">
        <v>1720</v>
      </c>
    </row>
    <row r="2388" spans="1:5" x14ac:dyDescent="0.25">
      <c r="A2388" s="36" t="e">
        <f>VLOOKUP($C2388,'Variable Information'!$A$2:$E$480,5,FALSE)</f>
        <v>#N/A</v>
      </c>
      <c r="B2388" s="36" t="e">
        <f>VLOOKUP($C2388,'Variable Information'!$A$1:$C$480,3,FALSE)</f>
        <v>#N/A</v>
      </c>
      <c r="C2388" s="35"/>
      <c r="D2388" s="30" t="s">
        <v>1473</v>
      </c>
      <c r="E2388" s="15" t="s">
        <v>1721</v>
      </c>
    </row>
    <row r="2389" spans="1:5" x14ac:dyDescent="0.25">
      <c r="A2389" s="36" t="e">
        <f>VLOOKUP($C2389,'Variable Information'!$A$2:$E$480,5,FALSE)</f>
        <v>#N/A</v>
      </c>
      <c r="B2389" s="36" t="e">
        <f>VLOOKUP($C2389,'Variable Information'!$A$1:$C$480,3,FALSE)</f>
        <v>#N/A</v>
      </c>
      <c r="C2389" s="35"/>
      <c r="D2389" s="30" t="s">
        <v>1475</v>
      </c>
      <c r="E2389" s="15" t="s">
        <v>1722</v>
      </c>
    </row>
    <row r="2390" spans="1:5" x14ac:dyDescent="0.25">
      <c r="A2390" s="36" t="e">
        <f>VLOOKUP($C2390,'Variable Information'!$A$2:$E$480,5,FALSE)</f>
        <v>#N/A</v>
      </c>
      <c r="B2390" s="36" t="e">
        <f>VLOOKUP($C2390,'Variable Information'!$A$1:$C$480,3,FALSE)</f>
        <v>#N/A</v>
      </c>
      <c r="C2390" s="35"/>
      <c r="D2390" s="30" t="s">
        <v>1477</v>
      </c>
      <c r="E2390" s="15" t="s">
        <v>1723</v>
      </c>
    </row>
    <row r="2391" spans="1:5" x14ac:dyDescent="0.25">
      <c r="A2391" s="36" t="e">
        <f>VLOOKUP($C2391,'Variable Information'!$A$2:$E$480,5,FALSE)</f>
        <v>#N/A</v>
      </c>
      <c r="B2391" s="36" t="e">
        <f>VLOOKUP($C2391,'Variable Information'!$A$1:$C$480,3,FALSE)</f>
        <v>#N/A</v>
      </c>
      <c r="C2391" s="35"/>
      <c r="D2391" s="30" t="s">
        <v>1503</v>
      </c>
      <c r="E2391" s="15" t="s">
        <v>1724</v>
      </c>
    </row>
    <row r="2392" spans="1:5" x14ac:dyDescent="0.25">
      <c r="A2392" s="36" t="e">
        <f>VLOOKUP($C2392,'Variable Information'!$A$2:$E$480,5,FALSE)</f>
        <v>#N/A</v>
      </c>
      <c r="B2392" s="36" t="e">
        <f>VLOOKUP($C2392,'Variable Information'!$A$1:$C$480,3,FALSE)</f>
        <v>#N/A</v>
      </c>
      <c r="C2392" s="35"/>
      <c r="D2392" s="30" t="s">
        <v>1524</v>
      </c>
      <c r="E2392" s="15" t="s">
        <v>1725</v>
      </c>
    </row>
    <row r="2393" spans="1:5" x14ac:dyDescent="0.25">
      <c r="A2393" s="36" t="e">
        <f>VLOOKUP($C2393,'Variable Information'!$A$2:$E$480,5,FALSE)</f>
        <v>#N/A</v>
      </c>
      <c r="B2393" s="36" t="e">
        <f>VLOOKUP($C2393,'Variable Information'!$A$1:$C$480,3,FALSE)</f>
        <v>#N/A</v>
      </c>
      <c r="C2393" s="35"/>
      <c r="D2393" s="30" t="s">
        <v>1526</v>
      </c>
      <c r="E2393" s="15" t="s">
        <v>1726</v>
      </c>
    </row>
    <row r="2394" spans="1:5" x14ac:dyDescent="0.25">
      <c r="A2394" s="36" t="e">
        <f>VLOOKUP($C2394,'Variable Information'!$A$2:$E$480,5,FALSE)</f>
        <v>#N/A</v>
      </c>
      <c r="B2394" s="36" t="e">
        <f>VLOOKUP($C2394,'Variable Information'!$A$1:$C$480,3,FALSE)</f>
        <v>#N/A</v>
      </c>
      <c r="C2394" s="35"/>
      <c r="D2394" s="30" t="s">
        <v>1528</v>
      </c>
      <c r="E2394" s="15" t="s">
        <v>1727</v>
      </c>
    </row>
    <row r="2395" spans="1:5" x14ac:dyDescent="0.25">
      <c r="A2395" s="36" t="e">
        <f>VLOOKUP($C2395,'Variable Information'!$A$2:$E$480,5,FALSE)</f>
        <v>#N/A</v>
      </c>
      <c r="B2395" s="36" t="e">
        <f>VLOOKUP($C2395,'Variable Information'!$A$1:$C$480,3,FALSE)</f>
        <v>#N/A</v>
      </c>
      <c r="C2395" s="35"/>
      <c r="D2395" s="30" t="s">
        <v>1530</v>
      </c>
      <c r="E2395" s="15" t="s">
        <v>1728</v>
      </c>
    </row>
    <row r="2396" spans="1:5" x14ac:dyDescent="0.25">
      <c r="A2396" s="36" t="e">
        <f>VLOOKUP($C2396,'Variable Information'!$A$2:$E$480,5,FALSE)</f>
        <v>#N/A</v>
      </c>
      <c r="B2396" s="36" t="e">
        <f>VLOOKUP($C2396,'Variable Information'!$A$1:$C$480,3,FALSE)</f>
        <v>#N/A</v>
      </c>
      <c r="C2396" s="35"/>
      <c r="D2396" s="30" t="s">
        <v>1532</v>
      </c>
      <c r="E2396" s="15" t="s">
        <v>1729</v>
      </c>
    </row>
    <row r="2397" spans="1:5" x14ac:dyDescent="0.25">
      <c r="A2397" s="36" t="e">
        <f>VLOOKUP($C2397,'Variable Information'!$A$2:$E$480,5,FALSE)</f>
        <v>#N/A</v>
      </c>
      <c r="B2397" s="36" t="e">
        <f>VLOOKUP($C2397,'Variable Information'!$A$1:$C$480,3,FALSE)</f>
        <v>#N/A</v>
      </c>
      <c r="C2397" s="35"/>
      <c r="D2397" s="30" t="s">
        <v>1534</v>
      </c>
      <c r="E2397" s="15" t="s">
        <v>1730</v>
      </c>
    </row>
    <row r="2398" spans="1:5" x14ac:dyDescent="0.25">
      <c r="A2398" s="36" t="e">
        <f>VLOOKUP($C2398,'Variable Information'!$A$2:$E$480,5,FALSE)</f>
        <v>#N/A</v>
      </c>
      <c r="B2398" s="36" t="e">
        <f>VLOOKUP($C2398,'Variable Information'!$A$1:$C$480,3,FALSE)</f>
        <v>#N/A</v>
      </c>
      <c r="C2398" s="35"/>
      <c r="D2398" s="30" t="s">
        <v>1536</v>
      </c>
      <c r="E2398" s="15" t="s">
        <v>1731</v>
      </c>
    </row>
    <row r="2399" spans="1:5" x14ac:dyDescent="0.25">
      <c r="A2399" s="36" t="e">
        <f>VLOOKUP($C2399,'Variable Information'!$A$2:$E$480,5,FALSE)</f>
        <v>#N/A</v>
      </c>
      <c r="B2399" s="36" t="e">
        <f>VLOOKUP($C2399,'Variable Information'!$A$1:$C$480,3,FALSE)</f>
        <v>#N/A</v>
      </c>
      <c r="C2399" s="35"/>
      <c r="D2399" s="30" t="s">
        <v>1538</v>
      </c>
      <c r="E2399" s="15" t="s">
        <v>1732</v>
      </c>
    </row>
    <row r="2400" spans="1:5" x14ac:dyDescent="0.25">
      <c r="A2400" s="36" t="e">
        <f>VLOOKUP($C2400,'Variable Information'!$A$2:$E$480,5,FALSE)</f>
        <v>#N/A</v>
      </c>
      <c r="B2400" s="36" t="e">
        <f>VLOOKUP($C2400,'Variable Information'!$A$1:$C$480,3,FALSE)</f>
        <v>#N/A</v>
      </c>
      <c r="C2400" s="35"/>
      <c r="D2400" s="30" t="s">
        <v>1540</v>
      </c>
      <c r="E2400" s="15" t="s">
        <v>1733</v>
      </c>
    </row>
    <row r="2401" spans="1:5" x14ac:dyDescent="0.25">
      <c r="A2401" s="36" t="e">
        <f>VLOOKUP($C2401,'Variable Information'!$A$2:$E$480,5,FALSE)</f>
        <v>#N/A</v>
      </c>
      <c r="B2401" s="36" t="e">
        <f>VLOOKUP($C2401,'Variable Information'!$A$1:$C$480,3,FALSE)</f>
        <v>#N/A</v>
      </c>
      <c r="C2401" s="35"/>
      <c r="D2401" s="30" t="s">
        <v>1542</v>
      </c>
      <c r="E2401" s="15" t="s">
        <v>1734</v>
      </c>
    </row>
    <row r="2402" spans="1:5" x14ac:dyDescent="0.25">
      <c r="A2402" s="36" t="e">
        <f>VLOOKUP($C2402,'Variable Information'!$A$2:$E$480,5,FALSE)</f>
        <v>#N/A</v>
      </c>
      <c r="B2402" s="36" t="e">
        <f>VLOOKUP($C2402,'Variable Information'!$A$1:$C$480,3,FALSE)</f>
        <v>#N/A</v>
      </c>
      <c r="C2402" s="35"/>
      <c r="D2402" s="30" t="s">
        <v>1544</v>
      </c>
      <c r="E2402" s="15" t="s">
        <v>1735</v>
      </c>
    </row>
    <row r="2403" spans="1:5" x14ac:dyDescent="0.25">
      <c r="A2403" s="36" t="e">
        <f>VLOOKUP($C2403,'Variable Information'!$A$2:$E$480,5,FALSE)</f>
        <v>#N/A</v>
      </c>
      <c r="B2403" s="36" t="e">
        <f>VLOOKUP($C2403,'Variable Information'!$A$1:$C$480,3,FALSE)</f>
        <v>#N/A</v>
      </c>
      <c r="C2403" s="35"/>
      <c r="D2403" s="30" t="s">
        <v>1546</v>
      </c>
      <c r="E2403" s="15" t="s">
        <v>1736</v>
      </c>
    </row>
    <row r="2404" spans="1:5" x14ac:dyDescent="0.25">
      <c r="A2404" s="36" t="e">
        <f>VLOOKUP($C2404,'Variable Information'!$A$2:$E$480,5,FALSE)</f>
        <v>#N/A</v>
      </c>
      <c r="B2404" s="36" t="e">
        <f>VLOOKUP($C2404,'Variable Information'!$A$1:$C$480,3,FALSE)</f>
        <v>#N/A</v>
      </c>
      <c r="C2404" s="35"/>
      <c r="D2404" s="30" t="s">
        <v>1548</v>
      </c>
      <c r="E2404" s="15" t="s">
        <v>1737</v>
      </c>
    </row>
    <row r="2405" spans="1:5" x14ac:dyDescent="0.25">
      <c r="A2405" s="36" t="e">
        <f>VLOOKUP($C2405,'Variable Information'!$A$2:$E$480,5,FALSE)</f>
        <v>#N/A</v>
      </c>
      <c r="B2405" s="36" t="e">
        <f>VLOOKUP($C2405,'Variable Information'!$A$1:$C$480,3,FALSE)</f>
        <v>#N/A</v>
      </c>
      <c r="C2405" s="35"/>
      <c r="D2405" s="30" t="s">
        <v>1550</v>
      </c>
      <c r="E2405" s="15" t="s">
        <v>1738</v>
      </c>
    </row>
    <row r="2406" spans="1:5" x14ac:dyDescent="0.25">
      <c r="A2406" s="36" t="e">
        <f>VLOOKUP($C2406,'Variable Information'!$A$2:$E$480,5,FALSE)</f>
        <v>#N/A</v>
      </c>
      <c r="B2406" s="36" t="e">
        <f>VLOOKUP($C2406,'Variable Information'!$A$1:$C$480,3,FALSE)</f>
        <v>#N/A</v>
      </c>
      <c r="C2406" s="35"/>
      <c r="D2406" s="30" t="s">
        <v>1552</v>
      </c>
      <c r="E2406" s="15" t="s">
        <v>1739</v>
      </c>
    </row>
    <row r="2407" spans="1:5" x14ac:dyDescent="0.25">
      <c r="A2407" s="36" t="e">
        <f>VLOOKUP($C2407,'Variable Information'!$A$2:$E$480,5,FALSE)</f>
        <v>#N/A</v>
      </c>
      <c r="B2407" s="36" t="e">
        <f>VLOOKUP($C2407,'Variable Information'!$A$1:$C$480,3,FALSE)</f>
        <v>#N/A</v>
      </c>
      <c r="C2407" s="35"/>
      <c r="D2407" s="30" t="s">
        <v>1602</v>
      </c>
      <c r="E2407" s="15" t="s">
        <v>1740</v>
      </c>
    </row>
    <row r="2408" spans="1:5" x14ac:dyDescent="0.25">
      <c r="A2408" s="36" t="e">
        <f>VLOOKUP($C2408,'Variable Information'!$A$2:$E$480,5,FALSE)</f>
        <v>#N/A</v>
      </c>
      <c r="B2408" s="36" t="e">
        <f>VLOOKUP($C2408,'Variable Information'!$A$1:$C$480,3,FALSE)</f>
        <v>#N/A</v>
      </c>
      <c r="C2408" s="35"/>
      <c r="D2408" s="30" t="s">
        <v>1604</v>
      </c>
      <c r="E2408" s="15" t="s">
        <v>1741</v>
      </c>
    </row>
    <row r="2409" spans="1:5" x14ac:dyDescent="0.25">
      <c r="A2409" s="36" t="e">
        <f>VLOOKUP($C2409,'Variable Information'!$A$2:$E$480,5,FALSE)</f>
        <v>#N/A</v>
      </c>
      <c r="B2409" s="36" t="e">
        <f>VLOOKUP($C2409,'Variable Information'!$A$1:$C$480,3,FALSE)</f>
        <v>#N/A</v>
      </c>
      <c r="C2409" s="35"/>
      <c r="D2409" s="30" t="s">
        <v>1606</v>
      </c>
      <c r="E2409" s="15" t="s">
        <v>1742</v>
      </c>
    </row>
    <row r="2410" spans="1:5" x14ac:dyDescent="0.25">
      <c r="A2410" s="36" t="e">
        <f>VLOOKUP($C2410,'Variable Information'!$A$2:$E$480,5,FALSE)</f>
        <v>#N/A</v>
      </c>
      <c r="B2410" s="36" t="e">
        <f>VLOOKUP($C2410,'Variable Information'!$A$1:$C$480,3,FALSE)</f>
        <v>#N/A</v>
      </c>
      <c r="C2410" s="35"/>
      <c r="D2410" s="30" t="s">
        <v>1608</v>
      </c>
      <c r="E2410" s="15" t="s">
        <v>1743</v>
      </c>
    </row>
    <row r="2411" spans="1:5" x14ac:dyDescent="0.25">
      <c r="A2411" s="36" t="e">
        <f>VLOOKUP($C2411,'Variable Information'!$A$2:$E$480,5,FALSE)</f>
        <v>#N/A</v>
      </c>
      <c r="B2411" s="36" t="e">
        <f>VLOOKUP($C2411,'Variable Information'!$A$1:$C$480,3,FALSE)</f>
        <v>#N/A</v>
      </c>
      <c r="C2411" s="35"/>
      <c r="D2411" s="30" t="s">
        <v>1610</v>
      </c>
      <c r="E2411" s="15" t="s">
        <v>1744</v>
      </c>
    </row>
    <row r="2412" spans="1:5" x14ac:dyDescent="0.25">
      <c r="A2412" s="36" t="e">
        <f>VLOOKUP($C2412,'Variable Information'!$A$2:$E$480,5,FALSE)</f>
        <v>#N/A</v>
      </c>
      <c r="B2412" s="36" t="e">
        <f>VLOOKUP($C2412,'Variable Information'!$A$1:$C$480,3,FALSE)</f>
        <v>#N/A</v>
      </c>
      <c r="C2412" s="35"/>
      <c r="D2412" s="30" t="s">
        <v>1612</v>
      </c>
      <c r="E2412" s="15" t="s">
        <v>1745</v>
      </c>
    </row>
    <row r="2413" spans="1:5" x14ac:dyDescent="0.25">
      <c r="A2413" s="36" t="e">
        <f>VLOOKUP($C2413,'Variable Information'!$A$2:$E$480,5,FALSE)</f>
        <v>#N/A</v>
      </c>
      <c r="B2413" s="36" t="e">
        <f>VLOOKUP($C2413,'Variable Information'!$A$1:$C$480,3,FALSE)</f>
        <v>#N/A</v>
      </c>
      <c r="C2413" s="35"/>
      <c r="D2413" s="30" t="s">
        <v>1614</v>
      </c>
      <c r="E2413" s="15" t="s">
        <v>1746</v>
      </c>
    </row>
    <row r="2414" spans="1:5" x14ac:dyDescent="0.25">
      <c r="A2414" s="36" t="e">
        <f>VLOOKUP($C2414,'Variable Information'!$A$2:$E$480,5,FALSE)</f>
        <v>#N/A</v>
      </c>
      <c r="B2414" s="36" t="e">
        <f>VLOOKUP($C2414,'Variable Information'!$A$1:$C$480,3,FALSE)</f>
        <v>#N/A</v>
      </c>
      <c r="C2414" s="35"/>
      <c r="D2414" s="30" t="s">
        <v>1616</v>
      </c>
      <c r="E2414" s="15" t="s">
        <v>1747</v>
      </c>
    </row>
    <row r="2415" spans="1:5" x14ac:dyDescent="0.25">
      <c r="A2415" s="36" t="e">
        <f>VLOOKUP($C2415,'Variable Information'!$A$2:$E$480,5,FALSE)</f>
        <v>#N/A</v>
      </c>
      <c r="B2415" s="36" t="e">
        <f>VLOOKUP($C2415,'Variable Information'!$A$1:$C$480,3,FALSE)</f>
        <v>#N/A</v>
      </c>
      <c r="C2415" s="35"/>
      <c r="D2415" s="30" t="s">
        <v>1618</v>
      </c>
      <c r="E2415" s="15" t="s">
        <v>1748</v>
      </c>
    </row>
    <row r="2416" spans="1:5" x14ac:dyDescent="0.25">
      <c r="A2416" s="36" t="e">
        <f>VLOOKUP($C2416,'Variable Information'!$A$2:$E$480,5,FALSE)</f>
        <v>#N/A</v>
      </c>
      <c r="B2416" s="36" t="e">
        <f>VLOOKUP($C2416,'Variable Information'!$A$1:$C$480,3,FALSE)</f>
        <v>#N/A</v>
      </c>
      <c r="C2416" s="35"/>
      <c r="D2416" s="30" t="s">
        <v>1620</v>
      </c>
      <c r="E2416" s="15" t="s">
        <v>1749</v>
      </c>
    </row>
    <row r="2417" spans="1:5" x14ac:dyDescent="0.25">
      <c r="A2417" s="36" t="e">
        <f>VLOOKUP($C2417,'Variable Information'!$A$2:$E$480,5,FALSE)</f>
        <v>#N/A</v>
      </c>
      <c r="B2417" s="36" t="e">
        <f>VLOOKUP($C2417,'Variable Information'!$A$1:$C$480,3,FALSE)</f>
        <v>#N/A</v>
      </c>
      <c r="C2417" s="35"/>
      <c r="D2417" s="30" t="s">
        <v>1622</v>
      </c>
      <c r="E2417" s="15" t="s">
        <v>1750</v>
      </c>
    </row>
    <row r="2418" spans="1:5" x14ac:dyDescent="0.25">
      <c r="A2418" s="36" t="e">
        <f>VLOOKUP($C2418,'Variable Information'!$A$2:$E$480,5,FALSE)</f>
        <v>#N/A</v>
      </c>
      <c r="B2418" s="36" t="e">
        <f>VLOOKUP($C2418,'Variable Information'!$A$1:$C$480,3,FALSE)</f>
        <v>#N/A</v>
      </c>
      <c r="C2418" s="35"/>
      <c r="D2418" s="30" t="s">
        <v>1624</v>
      </c>
      <c r="E2418" s="15" t="s">
        <v>1751</v>
      </c>
    </row>
    <row r="2419" spans="1:5" x14ac:dyDescent="0.25">
      <c r="A2419" s="36" t="e">
        <f>VLOOKUP($C2419,'Variable Information'!$A$2:$E$480,5,FALSE)</f>
        <v>#N/A</v>
      </c>
      <c r="B2419" s="36" t="e">
        <f>VLOOKUP($C2419,'Variable Information'!$A$1:$C$480,3,FALSE)</f>
        <v>#N/A</v>
      </c>
      <c r="C2419" s="35"/>
      <c r="D2419" s="30" t="s">
        <v>1626</v>
      </c>
      <c r="E2419" s="15" t="s">
        <v>1752</v>
      </c>
    </row>
    <row r="2420" spans="1:5" x14ac:dyDescent="0.25">
      <c r="A2420" s="36" t="e">
        <f>VLOOKUP($C2420,'Variable Information'!$A$2:$E$480,5,FALSE)</f>
        <v>#N/A</v>
      </c>
      <c r="B2420" s="36" t="e">
        <f>VLOOKUP($C2420,'Variable Information'!$A$1:$C$480,3,FALSE)</f>
        <v>#N/A</v>
      </c>
      <c r="C2420" s="35"/>
      <c r="D2420" s="30" t="s">
        <v>1628</v>
      </c>
      <c r="E2420" s="15" t="s">
        <v>1753</v>
      </c>
    </row>
    <row r="2421" spans="1:5" x14ac:dyDescent="0.25">
      <c r="A2421" s="36" t="e">
        <f>VLOOKUP($C2421,'Variable Information'!$A$2:$E$480,5,FALSE)</f>
        <v>#N/A</v>
      </c>
      <c r="B2421" s="36" t="e">
        <f>VLOOKUP($C2421,'Variable Information'!$A$1:$C$480,3,FALSE)</f>
        <v>#N/A</v>
      </c>
      <c r="C2421" s="35"/>
      <c r="D2421" s="30" t="s">
        <v>1630</v>
      </c>
      <c r="E2421" s="15" t="s">
        <v>1754</v>
      </c>
    </row>
    <row r="2422" spans="1:5" x14ac:dyDescent="0.25">
      <c r="A2422" s="36" t="e">
        <f>VLOOKUP($C2422,'Variable Information'!$A$2:$E$480,5,FALSE)</f>
        <v>#N/A</v>
      </c>
      <c r="B2422" s="36" t="e">
        <f>VLOOKUP($C2422,'Variable Information'!$A$1:$C$480,3,FALSE)</f>
        <v>#N/A</v>
      </c>
      <c r="C2422" s="35"/>
      <c r="D2422" s="30" t="s">
        <v>1632</v>
      </c>
      <c r="E2422" s="15" t="s">
        <v>1755</v>
      </c>
    </row>
    <row r="2423" spans="1:5" x14ac:dyDescent="0.25">
      <c r="A2423" s="36" t="e">
        <f>VLOOKUP($C2423,'Variable Information'!$A$2:$E$480,5,FALSE)</f>
        <v>#N/A</v>
      </c>
      <c r="B2423" s="36" t="e">
        <f>VLOOKUP($C2423,'Variable Information'!$A$1:$C$480,3,FALSE)</f>
        <v>#N/A</v>
      </c>
      <c r="C2423" s="35"/>
      <c r="D2423" s="30" t="s">
        <v>1634</v>
      </c>
      <c r="E2423" s="15" t="s">
        <v>1756</v>
      </c>
    </row>
    <row r="2424" spans="1:5" x14ac:dyDescent="0.25">
      <c r="A2424" s="36" t="e">
        <f>VLOOKUP($C2424,'Variable Information'!$A$2:$E$480,5,FALSE)</f>
        <v>#N/A</v>
      </c>
      <c r="B2424" s="36" t="e">
        <f>VLOOKUP($C2424,'Variable Information'!$A$1:$C$480,3,FALSE)</f>
        <v>#N/A</v>
      </c>
      <c r="C2424" s="35"/>
      <c r="D2424" s="30" t="s">
        <v>1636</v>
      </c>
      <c r="E2424" s="15" t="s">
        <v>1757</v>
      </c>
    </row>
    <row r="2425" spans="1:5" x14ac:dyDescent="0.25">
      <c r="A2425" s="36" t="e">
        <f>VLOOKUP($C2425,'Variable Information'!$A$2:$E$480,5,FALSE)</f>
        <v>#N/A</v>
      </c>
      <c r="B2425" s="36" t="e">
        <f>VLOOKUP($C2425,'Variable Information'!$A$1:$C$480,3,FALSE)</f>
        <v>#N/A</v>
      </c>
      <c r="C2425" s="35"/>
      <c r="D2425" s="30" t="s">
        <v>1638</v>
      </c>
      <c r="E2425" s="15" t="s">
        <v>1758</v>
      </c>
    </row>
    <row r="2426" spans="1:5" x14ac:dyDescent="0.25">
      <c r="A2426" s="36" t="e">
        <f>VLOOKUP($C2426,'Variable Information'!$A$2:$E$480,5,FALSE)</f>
        <v>#N/A</v>
      </c>
      <c r="B2426" s="36" t="e">
        <f>VLOOKUP($C2426,'Variable Information'!$A$1:$C$480,3,FALSE)</f>
        <v>#N/A</v>
      </c>
      <c r="C2426" s="35"/>
      <c r="D2426" s="30" t="s">
        <v>1640</v>
      </c>
      <c r="E2426" s="15" t="s">
        <v>1759</v>
      </c>
    </row>
    <row r="2427" spans="1:5" x14ac:dyDescent="0.25">
      <c r="A2427" s="36" t="e">
        <f>VLOOKUP($C2427,'Variable Information'!$A$2:$E$480,5,FALSE)</f>
        <v>#N/A</v>
      </c>
      <c r="B2427" s="36" t="e">
        <f>VLOOKUP($C2427,'Variable Information'!$A$1:$C$480,3,FALSE)</f>
        <v>#N/A</v>
      </c>
      <c r="C2427" s="35"/>
      <c r="D2427" s="30" t="s">
        <v>1642</v>
      </c>
      <c r="E2427" s="15" t="s">
        <v>1760</v>
      </c>
    </row>
    <row r="2428" spans="1:5" x14ac:dyDescent="0.25">
      <c r="A2428" s="36" t="e">
        <f>VLOOKUP($C2428,'Variable Information'!$A$2:$E$480,5,FALSE)</f>
        <v>#N/A</v>
      </c>
      <c r="B2428" s="36" t="e">
        <f>VLOOKUP($C2428,'Variable Information'!$A$1:$C$480,3,FALSE)</f>
        <v>#N/A</v>
      </c>
      <c r="C2428" s="35"/>
      <c r="D2428" s="30" t="s">
        <v>1644</v>
      </c>
      <c r="E2428" s="15" t="s">
        <v>1761</v>
      </c>
    </row>
    <row r="2429" spans="1:5" x14ac:dyDescent="0.25">
      <c r="A2429" s="36" t="e">
        <f>VLOOKUP($C2429,'Variable Information'!$A$2:$E$480,5,FALSE)</f>
        <v>#N/A</v>
      </c>
      <c r="B2429" s="36" t="e">
        <f>VLOOKUP($C2429,'Variable Information'!$A$1:$C$480,3,FALSE)</f>
        <v>#N/A</v>
      </c>
      <c r="C2429" s="35"/>
      <c r="D2429" s="30" t="s">
        <v>1646</v>
      </c>
      <c r="E2429" s="15" t="s">
        <v>1762</v>
      </c>
    </row>
    <row r="2430" spans="1:5" x14ac:dyDescent="0.25">
      <c r="A2430" s="36" t="e">
        <f>VLOOKUP($C2430,'Variable Information'!$A$2:$E$480,5,FALSE)</f>
        <v>#N/A</v>
      </c>
      <c r="B2430" s="36" t="e">
        <f>VLOOKUP($C2430,'Variable Information'!$A$1:$C$480,3,FALSE)</f>
        <v>#N/A</v>
      </c>
      <c r="C2430" s="35"/>
      <c r="D2430" s="30" t="s">
        <v>1648</v>
      </c>
      <c r="E2430" s="15" t="s">
        <v>1763</v>
      </c>
    </row>
    <row r="2431" spans="1:5" x14ac:dyDescent="0.25">
      <c r="A2431" s="36" t="e">
        <f>VLOOKUP($C2431,'Variable Information'!$A$2:$E$480,5,FALSE)</f>
        <v>#N/A</v>
      </c>
      <c r="B2431" s="36" t="e">
        <f>VLOOKUP($C2431,'Variable Information'!$A$1:$C$480,3,FALSE)</f>
        <v>#N/A</v>
      </c>
      <c r="C2431" s="35"/>
      <c r="D2431" s="30" t="s">
        <v>1650</v>
      </c>
      <c r="E2431" s="15" t="s">
        <v>1764</v>
      </c>
    </row>
    <row r="2432" spans="1:5" x14ac:dyDescent="0.25">
      <c r="A2432" s="36" t="e">
        <f>VLOOKUP($C2432,'Variable Information'!$A$2:$E$480,5,FALSE)</f>
        <v>#N/A</v>
      </c>
      <c r="B2432" s="36" t="e">
        <f>VLOOKUP($C2432,'Variable Information'!$A$1:$C$480,3,FALSE)</f>
        <v>#N/A</v>
      </c>
      <c r="C2432" s="35"/>
      <c r="D2432" s="30" t="s">
        <v>1652</v>
      </c>
      <c r="E2432" s="15" t="s">
        <v>1765</v>
      </c>
    </row>
    <row r="2433" spans="1:5" x14ac:dyDescent="0.25">
      <c r="A2433" s="36" t="e">
        <f>VLOOKUP($C2433,'Variable Information'!$A$2:$E$480,5,FALSE)</f>
        <v>#N/A</v>
      </c>
      <c r="B2433" s="36" t="e">
        <f>VLOOKUP($C2433,'Variable Information'!$A$1:$C$480,3,FALSE)</f>
        <v>#N/A</v>
      </c>
      <c r="C2433" s="35"/>
      <c r="D2433" s="30" t="s">
        <v>1654</v>
      </c>
      <c r="E2433" s="15" t="s">
        <v>1766</v>
      </c>
    </row>
    <row r="2434" spans="1:5" x14ac:dyDescent="0.25">
      <c r="A2434" s="36" t="e">
        <f>VLOOKUP($C2434,'Variable Information'!$A$2:$E$480,5,FALSE)</f>
        <v>#N/A</v>
      </c>
      <c r="B2434" s="36" t="e">
        <f>VLOOKUP($C2434,'Variable Information'!$A$1:$C$480,3,FALSE)</f>
        <v>#N/A</v>
      </c>
      <c r="C2434" s="35"/>
      <c r="D2434" s="30" t="s">
        <v>1656</v>
      </c>
      <c r="E2434" s="15" t="s">
        <v>1767</v>
      </c>
    </row>
    <row r="2435" spans="1:5" x14ac:dyDescent="0.25">
      <c r="A2435" s="36" t="e">
        <f>VLOOKUP($C2435,'Variable Information'!$A$2:$E$480,5,FALSE)</f>
        <v>#N/A</v>
      </c>
      <c r="B2435" s="36" t="e">
        <f>VLOOKUP($C2435,'Variable Information'!$A$1:$C$480,3,FALSE)</f>
        <v>#N/A</v>
      </c>
      <c r="C2435" s="35"/>
      <c r="D2435" s="30" t="s">
        <v>1658</v>
      </c>
      <c r="E2435" s="15" t="s">
        <v>1768</v>
      </c>
    </row>
    <row r="2436" spans="1:5" x14ac:dyDescent="0.25">
      <c r="A2436" s="36" t="e">
        <f>VLOOKUP($C2436,'Variable Information'!$A$2:$E$480,5,FALSE)</f>
        <v>#N/A</v>
      </c>
      <c r="B2436" s="36" t="e">
        <f>VLOOKUP($C2436,'Variable Information'!$A$1:$C$480,3,FALSE)</f>
        <v>#N/A</v>
      </c>
      <c r="C2436" s="35"/>
      <c r="D2436" s="30" t="s">
        <v>1769</v>
      </c>
      <c r="E2436" s="15" t="s">
        <v>1770</v>
      </c>
    </row>
    <row r="2437" spans="1:5" x14ac:dyDescent="0.25">
      <c r="A2437" s="36" t="e">
        <f>VLOOKUP($C2437,'Variable Information'!$A$2:$E$480,5,FALSE)</f>
        <v>#N/A</v>
      </c>
      <c r="B2437" s="36" t="e">
        <f>VLOOKUP($C2437,'Variable Information'!$A$1:$C$480,3,FALSE)</f>
        <v>#N/A</v>
      </c>
      <c r="C2437" s="35"/>
      <c r="D2437" s="30" t="s">
        <v>1771</v>
      </c>
      <c r="E2437" s="15" t="s">
        <v>1772</v>
      </c>
    </row>
    <row r="2438" spans="1:5" x14ac:dyDescent="0.25">
      <c r="A2438" s="36" t="e">
        <f>VLOOKUP($C2438,'Variable Information'!$A$2:$E$480,5,FALSE)</f>
        <v>#N/A</v>
      </c>
      <c r="B2438" s="36" t="e">
        <f>VLOOKUP($C2438,'Variable Information'!$A$1:$C$480,3,FALSE)</f>
        <v>#N/A</v>
      </c>
      <c r="C2438" s="35"/>
      <c r="D2438" s="30" t="s">
        <v>1773</v>
      </c>
      <c r="E2438" s="15" t="s">
        <v>1774</v>
      </c>
    </row>
    <row r="2439" spans="1:5" x14ac:dyDescent="0.25">
      <c r="A2439" s="36" t="e">
        <f>VLOOKUP($C2439,'Variable Information'!$A$2:$E$480,5,FALSE)</f>
        <v>#N/A</v>
      </c>
      <c r="B2439" s="36" t="e">
        <f>VLOOKUP($C2439,'Variable Information'!$A$1:$C$480,3,FALSE)</f>
        <v>#N/A</v>
      </c>
      <c r="C2439" s="35"/>
      <c r="D2439" s="30" t="s">
        <v>1775</v>
      </c>
      <c r="E2439" s="15" t="s">
        <v>1776</v>
      </c>
    </row>
    <row r="2440" spans="1:5" x14ac:dyDescent="0.25">
      <c r="A2440" s="36" t="e">
        <f>VLOOKUP($C2440,'Variable Information'!$A$2:$E$480,5,FALSE)</f>
        <v>#N/A</v>
      </c>
      <c r="B2440" s="36" t="e">
        <f>VLOOKUP($C2440,'Variable Information'!$A$1:$C$480,3,FALSE)</f>
        <v>#N/A</v>
      </c>
      <c r="C2440" s="35"/>
      <c r="D2440" s="30" t="s">
        <v>1777</v>
      </c>
      <c r="E2440" s="15" t="s">
        <v>1778</v>
      </c>
    </row>
    <row r="2441" spans="1:5" x14ac:dyDescent="0.25">
      <c r="A2441" s="36" t="e">
        <f>VLOOKUP($C2441,'Variable Information'!$A$2:$E$480,5,FALSE)</f>
        <v>#N/A</v>
      </c>
      <c r="B2441" s="36" t="e">
        <f>VLOOKUP($C2441,'Variable Information'!$A$1:$C$480,3,FALSE)</f>
        <v>#N/A</v>
      </c>
      <c r="C2441" s="35"/>
      <c r="D2441" s="30" t="s">
        <v>1779</v>
      </c>
      <c r="E2441" s="15" t="s">
        <v>1780</v>
      </c>
    </row>
    <row r="2442" spans="1:5" x14ac:dyDescent="0.25">
      <c r="A2442" s="36" t="e">
        <f>VLOOKUP($C2442,'Variable Information'!$A$2:$E$480,5,FALSE)</f>
        <v>#N/A</v>
      </c>
      <c r="B2442" s="36" t="e">
        <f>VLOOKUP($C2442,'Variable Information'!$A$1:$C$480,3,FALSE)</f>
        <v>#N/A</v>
      </c>
      <c r="C2442" s="35"/>
      <c r="D2442" s="30" t="s">
        <v>1781</v>
      </c>
      <c r="E2442" s="15" t="s">
        <v>1782</v>
      </c>
    </row>
    <row r="2443" spans="1:5" x14ac:dyDescent="0.25">
      <c r="A2443" s="36" t="e">
        <f>VLOOKUP($C2443,'Variable Information'!$A$2:$E$480,5,FALSE)</f>
        <v>#N/A</v>
      </c>
      <c r="B2443" s="36" t="e">
        <f>VLOOKUP($C2443,'Variable Information'!$A$1:$C$480,3,FALSE)</f>
        <v>#N/A</v>
      </c>
      <c r="C2443" s="35"/>
      <c r="D2443" s="30" t="s">
        <v>1783</v>
      </c>
      <c r="E2443" s="15" t="s">
        <v>1784</v>
      </c>
    </row>
    <row r="2444" spans="1:5" x14ac:dyDescent="0.25">
      <c r="A2444" s="36" t="e">
        <f>VLOOKUP($C2444,'Variable Information'!$A$2:$E$480,5,FALSE)</f>
        <v>#N/A</v>
      </c>
      <c r="B2444" s="36" t="e">
        <f>VLOOKUP($C2444,'Variable Information'!$A$1:$C$480,3,FALSE)</f>
        <v>#N/A</v>
      </c>
      <c r="C2444" s="35"/>
      <c r="D2444" s="30" t="s">
        <v>1785</v>
      </c>
      <c r="E2444" s="15" t="s">
        <v>1786</v>
      </c>
    </row>
    <row r="2445" spans="1:5" x14ac:dyDescent="0.25">
      <c r="A2445" s="36" t="e">
        <f>VLOOKUP($C2445,'Variable Information'!$A$2:$E$480,5,FALSE)</f>
        <v>#N/A</v>
      </c>
      <c r="B2445" s="36" t="e">
        <f>VLOOKUP($C2445,'Variable Information'!$A$1:$C$480,3,FALSE)</f>
        <v>#N/A</v>
      </c>
      <c r="C2445" s="35"/>
      <c r="D2445" s="30" t="s">
        <v>1787</v>
      </c>
      <c r="E2445" s="15" t="s">
        <v>1788</v>
      </c>
    </row>
    <row r="2446" spans="1:5" x14ac:dyDescent="0.25">
      <c r="A2446" s="36" t="e">
        <f>VLOOKUP($C2446,'Variable Information'!$A$2:$E$480,5,FALSE)</f>
        <v>#N/A</v>
      </c>
      <c r="B2446" s="36" t="e">
        <f>VLOOKUP($C2446,'Variable Information'!$A$1:$C$480,3,FALSE)</f>
        <v>#N/A</v>
      </c>
      <c r="C2446" s="35"/>
      <c r="D2446" s="30" t="s">
        <v>1789</v>
      </c>
      <c r="E2446" s="15" t="s">
        <v>1790</v>
      </c>
    </row>
    <row r="2447" spans="1:5" x14ac:dyDescent="0.25">
      <c r="A2447" s="36" t="e">
        <f>VLOOKUP($C2447,'Variable Information'!$A$2:$E$480,5,FALSE)</f>
        <v>#N/A</v>
      </c>
      <c r="B2447" s="36" t="e">
        <f>VLOOKUP($C2447,'Variable Information'!$A$1:$C$480,3,FALSE)</f>
        <v>#N/A</v>
      </c>
      <c r="C2447" s="35"/>
      <c r="D2447" s="30" t="s">
        <v>1791</v>
      </c>
      <c r="E2447" s="15" t="s">
        <v>1792</v>
      </c>
    </row>
    <row r="2448" spans="1:5" x14ac:dyDescent="0.25">
      <c r="A2448" s="36" t="e">
        <f>VLOOKUP($C2448,'Variable Information'!$A$2:$E$480,5,FALSE)</f>
        <v>#N/A</v>
      </c>
      <c r="B2448" s="36" t="e">
        <f>VLOOKUP($C2448,'Variable Information'!$A$1:$C$480,3,FALSE)</f>
        <v>#N/A</v>
      </c>
      <c r="C2448" s="35"/>
      <c r="D2448" s="30" t="s">
        <v>1793</v>
      </c>
      <c r="E2448" s="15" t="s">
        <v>1794</v>
      </c>
    </row>
    <row r="2449" spans="1:5" x14ac:dyDescent="0.25">
      <c r="A2449" s="36" t="e">
        <f>VLOOKUP($C2449,'Variable Information'!$A$2:$E$480,5,FALSE)</f>
        <v>#N/A</v>
      </c>
      <c r="B2449" s="36" t="e">
        <f>VLOOKUP($C2449,'Variable Information'!$A$1:$C$480,3,FALSE)</f>
        <v>#N/A</v>
      </c>
      <c r="C2449" s="35"/>
      <c r="D2449" s="30" t="s">
        <v>1795</v>
      </c>
      <c r="E2449" s="15" t="s">
        <v>1796</v>
      </c>
    </row>
    <row r="2450" spans="1:5" x14ac:dyDescent="0.25">
      <c r="A2450" s="36" t="e">
        <f>VLOOKUP($C2450,'Variable Information'!$A$2:$E$480,5,FALSE)</f>
        <v>#N/A</v>
      </c>
      <c r="B2450" s="36" t="e">
        <f>VLOOKUP($C2450,'Variable Information'!$A$1:$C$480,3,FALSE)</f>
        <v>#N/A</v>
      </c>
      <c r="C2450" s="35"/>
      <c r="D2450" s="30" t="s">
        <v>1797</v>
      </c>
      <c r="E2450" s="15" t="s">
        <v>1798</v>
      </c>
    </row>
    <row r="2451" spans="1:5" x14ac:dyDescent="0.25">
      <c r="A2451" s="36" t="e">
        <f>VLOOKUP($C2451,'Variable Information'!$A$2:$E$480,5,FALSE)</f>
        <v>#N/A</v>
      </c>
      <c r="B2451" s="36" t="e">
        <f>VLOOKUP($C2451,'Variable Information'!$A$1:$C$480,3,FALSE)</f>
        <v>#N/A</v>
      </c>
      <c r="C2451" s="35"/>
      <c r="D2451" s="30" t="s">
        <v>1799</v>
      </c>
      <c r="E2451" s="15" t="s">
        <v>1800</v>
      </c>
    </row>
    <row r="2452" spans="1:5" x14ac:dyDescent="0.25">
      <c r="A2452" s="36" t="e">
        <f>VLOOKUP($C2452,'Variable Information'!$A$2:$E$480,5,FALSE)</f>
        <v>#N/A</v>
      </c>
      <c r="B2452" s="36" t="e">
        <f>VLOOKUP($C2452,'Variable Information'!$A$1:$C$480,3,FALSE)</f>
        <v>#N/A</v>
      </c>
      <c r="C2452" s="35"/>
      <c r="D2452" s="30" t="s">
        <v>1801</v>
      </c>
      <c r="E2452" s="15" t="s">
        <v>1802</v>
      </c>
    </row>
    <row r="2453" spans="1:5" x14ac:dyDescent="0.25">
      <c r="A2453" s="36" t="e">
        <f>VLOOKUP($C2453,'Variable Information'!$A$2:$E$480,5,FALSE)</f>
        <v>#N/A</v>
      </c>
      <c r="B2453" s="36" t="e">
        <f>VLOOKUP($C2453,'Variable Information'!$A$1:$C$480,3,FALSE)</f>
        <v>#N/A</v>
      </c>
      <c r="C2453" s="35"/>
      <c r="D2453" s="30" t="s">
        <v>1803</v>
      </c>
      <c r="E2453" s="15" t="s">
        <v>1804</v>
      </c>
    </row>
    <row r="2454" spans="1:5" x14ac:dyDescent="0.25">
      <c r="A2454" s="36" t="e">
        <f>VLOOKUP($C2454,'Variable Information'!$A$2:$E$480,5,FALSE)</f>
        <v>#N/A</v>
      </c>
      <c r="B2454" s="36" t="e">
        <f>VLOOKUP($C2454,'Variable Information'!$A$1:$C$480,3,FALSE)</f>
        <v>#N/A</v>
      </c>
      <c r="C2454" s="35"/>
      <c r="D2454" s="30" t="s">
        <v>1805</v>
      </c>
      <c r="E2454" s="15" t="s">
        <v>1806</v>
      </c>
    </row>
    <row r="2455" spans="1:5" x14ac:dyDescent="0.25">
      <c r="A2455" s="36" t="e">
        <f>VLOOKUP($C2455,'Variable Information'!$A$2:$E$480,5,FALSE)</f>
        <v>#N/A</v>
      </c>
      <c r="B2455" s="36" t="e">
        <f>VLOOKUP($C2455,'Variable Information'!$A$1:$C$480,3,FALSE)</f>
        <v>#N/A</v>
      </c>
      <c r="C2455" s="35"/>
      <c r="D2455" s="30" t="s">
        <v>1807</v>
      </c>
      <c r="E2455" s="15" t="s">
        <v>1808</v>
      </c>
    </row>
    <row r="2456" spans="1:5" x14ac:dyDescent="0.25">
      <c r="A2456" s="36" t="e">
        <f>VLOOKUP($C2456,'Variable Information'!$A$2:$E$480,5,FALSE)</f>
        <v>#N/A</v>
      </c>
      <c r="B2456" s="36" t="e">
        <f>VLOOKUP($C2456,'Variable Information'!$A$1:$C$480,3,FALSE)</f>
        <v>#N/A</v>
      </c>
      <c r="C2456" s="35"/>
      <c r="D2456" s="30" t="s">
        <v>1809</v>
      </c>
      <c r="E2456" s="15" t="s">
        <v>1810</v>
      </c>
    </row>
    <row r="2457" spans="1:5" x14ac:dyDescent="0.25">
      <c r="A2457" s="36" t="e">
        <f>VLOOKUP($C2457,'Variable Information'!$A$2:$E$480,5,FALSE)</f>
        <v>#N/A</v>
      </c>
      <c r="B2457" s="36" t="e">
        <f>VLOOKUP($C2457,'Variable Information'!$A$1:$C$480,3,FALSE)</f>
        <v>#N/A</v>
      </c>
      <c r="C2457" s="35"/>
      <c r="D2457" s="30" t="s">
        <v>1811</v>
      </c>
      <c r="E2457" s="15" t="s">
        <v>1812</v>
      </c>
    </row>
    <row r="2458" spans="1:5" x14ac:dyDescent="0.25">
      <c r="A2458" s="36" t="e">
        <f>VLOOKUP($C2458,'Variable Information'!$A$2:$E$480,5,FALSE)</f>
        <v>#N/A</v>
      </c>
      <c r="B2458" s="36" t="e">
        <f>VLOOKUP($C2458,'Variable Information'!$A$1:$C$480,3,FALSE)</f>
        <v>#N/A</v>
      </c>
      <c r="C2458" s="35"/>
      <c r="D2458" s="30" t="s">
        <v>1813</v>
      </c>
      <c r="E2458" s="15" t="s">
        <v>1814</v>
      </c>
    </row>
    <row r="2459" spans="1:5" x14ac:dyDescent="0.25">
      <c r="A2459" s="36" t="e">
        <f>VLOOKUP($C2459,'Variable Information'!$A$2:$E$480,5,FALSE)</f>
        <v>#N/A</v>
      </c>
      <c r="B2459" s="36" t="e">
        <f>VLOOKUP($C2459,'Variable Information'!$A$1:$C$480,3,FALSE)</f>
        <v>#N/A</v>
      </c>
      <c r="C2459" s="35"/>
      <c r="D2459" s="30" t="s">
        <v>1815</v>
      </c>
      <c r="E2459" s="15" t="s">
        <v>1816</v>
      </c>
    </row>
    <row r="2460" spans="1:5" x14ac:dyDescent="0.25">
      <c r="A2460" s="36" t="e">
        <f>VLOOKUP($C2460,'Variable Information'!$A$2:$E$480,5,FALSE)</f>
        <v>#N/A</v>
      </c>
      <c r="B2460" s="36" t="e">
        <f>VLOOKUP($C2460,'Variable Information'!$A$1:$C$480,3,FALSE)</f>
        <v>#N/A</v>
      </c>
      <c r="C2460" s="35"/>
      <c r="D2460" s="30" t="s">
        <v>1817</v>
      </c>
      <c r="E2460" s="15" t="s">
        <v>1818</v>
      </c>
    </row>
    <row r="2461" spans="1:5" x14ac:dyDescent="0.25">
      <c r="A2461" s="36" t="e">
        <f>VLOOKUP($C2461,'Variable Information'!$A$2:$E$480,5,FALSE)</f>
        <v>#N/A</v>
      </c>
      <c r="B2461" s="36" t="e">
        <f>VLOOKUP($C2461,'Variable Information'!$A$1:$C$480,3,FALSE)</f>
        <v>#N/A</v>
      </c>
      <c r="C2461" s="35"/>
      <c r="D2461" s="30" t="s">
        <v>1819</v>
      </c>
      <c r="E2461" s="15" t="s">
        <v>1820</v>
      </c>
    </row>
    <row r="2462" spans="1:5" x14ac:dyDescent="0.25">
      <c r="A2462" s="36" t="e">
        <f>VLOOKUP($C2462,'Variable Information'!$A$2:$E$480,5,FALSE)</f>
        <v>#N/A</v>
      </c>
      <c r="B2462" s="36" t="e">
        <f>VLOOKUP($C2462,'Variable Information'!$A$1:$C$480,3,FALSE)</f>
        <v>#N/A</v>
      </c>
      <c r="C2462" s="35"/>
      <c r="D2462" s="30" t="s">
        <v>1821</v>
      </c>
      <c r="E2462" s="15" t="s">
        <v>1822</v>
      </c>
    </row>
    <row r="2463" spans="1:5" x14ac:dyDescent="0.25">
      <c r="A2463" s="36" t="e">
        <f>VLOOKUP($C2463,'Variable Information'!$A$2:$E$480,5,FALSE)</f>
        <v>#N/A</v>
      </c>
      <c r="B2463" s="36" t="e">
        <f>VLOOKUP($C2463,'Variable Information'!$A$1:$C$480,3,FALSE)</f>
        <v>#N/A</v>
      </c>
      <c r="C2463" s="35"/>
      <c r="D2463" s="30" t="s">
        <v>1823</v>
      </c>
      <c r="E2463" s="15" t="s">
        <v>1824</v>
      </c>
    </row>
    <row r="2464" spans="1:5" x14ac:dyDescent="0.25">
      <c r="A2464" s="36" t="e">
        <f>VLOOKUP($C2464,'Variable Information'!$A$2:$E$480,5,FALSE)</f>
        <v>#N/A</v>
      </c>
      <c r="B2464" s="36" t="e">
        <f>VLOOKUP($C2464,'Variable Information'!$A$1:$C$480,3,FALSE)</f>
        <v>#N/A</v>
      </c>
      <c r="C2464" s="35"/>
      <c r="D2464" s="30" t="s">
        <v>1825</v>
      </c>
      <c r="E2464" s="15" t="s">
        <v>1826</v>
      </c>
    </row>
    <row r="2465" spans="1:5" x14ac:dyDescent="0.25">
      <c r="A2465" s="36" t="e">
        <f>VLOOKUP($C2465,'Variable Information'!$A$2:$E$480,5,FALSE)</f>
        <v>#N/A</v>
      </c>
      <c r="B2465" s="36" t="e">
        <f>VLOOKUP($C2465,'Variable Information'!$A$1:$C$480,3,FALSE)</f>
        <v>#N/A</v>
      </c>
      <c r="C2465" s="35"/>
      <c r="D2465" s="30" t="s">
        <v>1827</v>
      </c>
      <c r="E2465" s="15" t="s">
        <v>1828</v>
      </c>
    </row>
    <row r="2466" spans="1:5" x14ac:dyDescent="0.25">
      <c r="A2466" s="36" t="e">
        <f>VLOOKUP($C2466,'Variable Information'!$A$2:$E$480,5,FALSE)</f>
        <v>#N/A</v>
      </c>
      <c r="B2466" s="36" t="e">
        <f>VLOOKUP($C2466,'Variable Information'!$A$1:$C$480,3,FALSE)</f>
        <v>#N/A</v>
      </c>
      <c r="C2466" s="35"/>
      <c r="D2466" s="30" t="s">
        <v>1829</v>
      </c>
      <c r="E2466" s="15" t="s">
        <v>1830</v>
      </c>
    </row>
    <row r="2467" spans="1:5" x14ac:dyDescent="0.25">
      <c r="A2467" s="36" t="e">
        <f>VLOOKUP($C2467,'Variable Information'!$A$2:$E$480,5,FALSE)</f>
        <v>#N/A</v>
      </c>
      <c r="B2467" s="36" t="e">
        <f>VLOOKUP($C2467,'Variable Information'!$A$1:$C$480,3,FALSE)</f>
        <v>#N/A</v>
      </c>
      <c r="C2467" s="35"/>
      <c r="D2467" s="30" t="s">
        <v>1831</v>
      </c>
      <c r="E2467" s="15" t="s">
        <v>1832</v>
      </c>
    </row>
    <row r="2468" spans="1:5" x14ac:dyDescent="0.25">
      <c r="A2468" s="36" t="e">
        <f>VLOOKUP($C2468,'Variable Information'!$A$2:$E$480,5,FALSE)</f>
        <v>#N/A</v>
      </c>
      <c r="B2468" s="36" t="e">
        <f>VLOOKUP($C2468,'Variable Information'!$A$1:$C$480,3,FALSE)</f>
        <v>#N/A</v>
      </c>
      <c r="C2468" s="35"/>
      <c r="D2468" s="30" t="s">
        <v>1833</v>
      </c>
      <c r="E2468" s="15" t="s">
        <v>1834</v>
      </c>
    </row>
    <row r="2469" spans="1:5" x14ac:dyDescent="0.25">
      <c r="A2469" s="36" t="e">
        <f>VLOOKUP($C2469,'Variable Information'!$A$2:$E$480,5,FALSE)</f>
        <v>#N/A</v>
      </c>
      <c r="B2469" s="36" t="e">
        <f>VLOOKUP($C2469,'Variable Information'!$A$1:$C$480,3,FALSE)</f>
        <v>#N/A</v>
      </c>
      <c r="C2469" s="35"/>
      <c r="D2469" s="30" t="s">
        <v>1835</v>
      </c>
      <c r="E2469" s="15" t="s">
        <v>1836</v>
      </c>
    </row>
    <row r="2470" spans="1:5" x14ac:dyDescent="0.25">
      <c r="A2470" s="36" t="e">
        <f>VLOOKUP($C2470,'Variable Information'!$A$2:$E$480,5,FALSE)</f>
        <v>#N/A</v>
      </c>
      <c r="B2470" s="36" t="e">
        <f>VLOOKUP($C2470,'Variable Information'!$A$1:$C$480,3,FALSE)</f>
        <v>#N/A</v>
      </c>
      <c r="C2470" s="35"/>
      <c r="D2470" s="30" t="s">
        <v>1837</v>
      </c>
      <c r="E2470" s="15" t="s">
        <v>1838</v>
      </c>
    </row>
    <row r="2471" spans="1:5" x14ac:dyDescent="0.25">
      <c r="A2471" s="36" t="e">
        <f>VLOOKUP($C2471,'Variable Information'!$A$2:$E$480,5,FALSE)</f>
        <v>#N/A</v>
      </c>
      <c r="B2471" s="36" t="e">
        <f>VLOOKUP($C2471,'Variable Information'!$A$1:$C$480,3,FALSE)</f>
        <v>#N/A</v>
      </c>
      <c r="C2471" s="35"/>
      <c r="D2471" s="30" t="s">
        <v>1839</v>
      </c>
      <c r="E2471" s="15" t="s">
        <v>1840</v>
      </c>
    </row>
    <row r="2472" spans="1:5" x14ac:dyDescent="0.25">
      <c r="A2472" s="36" t="e">
        <f>VLOOKUP($C2472,'Variable Information'!$A$2:$E$480,5,FALSE)</f>
        <v>#N/A</v>
      </c>
      <c r="B2472" s="36" t="e">
        <f>VLOOKUP($C2472,'Variable Information'!$A$1:$C$480,3,FALSE)</f>
        <v>#N/A</v>
      </c>
      <c r="C2472" s="35"/>
      <c r="D2472" s="30" t="s">
        <v>1841</v>
      </c>
      <c r="E2472" s="15" t="s">
        <v>1842</v>
      </c>
    </row>
    <row r="2473" spans="1:5" x14ac:dyDescent="0.25">
      <c r="A2473" s="36" t="e">
        <f>VLOOKUP($C2473,'Variable Information'!$A$2:$E$480,5,FALSE)</f>
        <v>#N/A</v>
      </c>
      <c r="B2473" s="36" t="e">
        <f>VLOOKUP($C2473,'Variable Information'!$A$1:$C$480,3,FALSE)</f>
        <v>#N/A</v>
      </c>
      <c r="C2473" s="35"/>
      <c r="D2473" s="30" t="s">
        <v>1843</v>
      </c>
      <c r="E2473" s="15" t="s">
        <v>1844</v>
      </c>
    </row>
    <row r="2474" spans="1:5" x14ac:dyDescent="0.25">
      <c r="A2474" s="36" t="e">
        <f>VLOOKUP($C2474,'Variable Information'!$A$2:$E$480,5,FALSE)</f>
        <v>#N/A</v>
      </c>
      <c r="B2474" s="36" t="e">
        <f>VLOOKUP($C2474,'Variable Information'!$A$1:$C$480,3,FALSE)</f>
        <v>#N/A</v>
      </c>
      <c r="C2474" s="35"/>
      <c r="D2474" s="30" t="s">
        <v>1845</v>
      </c>
      <c r="E2474" s="15" t="s">
        <v>1846</v>
      </c>
    </row>
    <row r="2475" spans="1:5" x14ac:dyDescent="0.25">
      <c r="A2475" s="36" t="e">
        <f>VLOOKUP($C2475,'Variable Information'!$A$2:$E$480,5,FALSE)</f>
        <v>#N/A</v>
      </c>
      <c r="B2475" s="36" t="e">
        <f>VLOOKUP($C2475,'Variable Information'!$A$1:$C$480,3,FALSE)</f>
        <v>#N/A</v>
      </c>
      <c r="C2475" s="35"/>
      <c r="D2475" s="30" t="s">
        <v>1847</v>
      </c>
      <c r="E2475" s="15" t="s">
        <v>1848</v>
      </c>
    </row>
    <row r="2476" spans="1:5" x14ac:dyDescent="0.25">
      <c r="A2476" s="36" t="e">
        <f>VLOOKUP($C2476,'Variable Information'!$A$2:$E$480,5,FALSE)</f>
        <v>#N/A</v>
      </c>
      <c r="B2476" s="36" t="e">
        <f>VLOOKUP($C2476,'Variable Information'!$A$1:$C$480,3,FALSE)</f>
        <v>#N/A</v>
      </c>
      <c r="C2476" s="35"/>
      <c r="D2476" s="30" t="s">
        <v>1849</v>
      </c>
      <c r="E2476" s="15" t="s">
        <v>1850</v>
      </c>
    </row>
    <row r="2477" spans="1:5" x14ac:dyDescent="0.25">
      <c r="A2477" s="36" t="e">
        <f>VLOOKUP($C2477,'Variable Information'!$A$2:$E$480,5,FALSE)</f>
        <v>#N/A</v>
      </c>
      <c r="B2477" s="36" t="e">
        <f>VLOOKUP($C2477,'Variable Information'!$A$1:$C$480,3,FALSE)</f>
        <v>#N/A</v>
      </c>
      <c r="C2477" s="35"/>
      <c r="D2477" s="30" t="s">
        <v>1851</v>
      </c>
      <c r="E2477" s="15" t="s">
        <v>1852</v>
      </c>
    </row>
    <row r="2478" spans="1:5" x14ac:dyDescent="0.25">
      <c r="A2478" s="36" t="e">
        <f>VLOOKUP($C2478,'Variable Information'!$A$2:$E$480,5,FALSE)</f>
        <v>#N/A</v>
      </c>
      <c r="B2478" s="36" t="e">
        <f>VLOOKUP($C2478,'Variable Information'!$A$1:$C$480,3,FALSE)</f>
        <v>#N/A</v>
      </c>
      <c r="C2478" s="35"/>
      <c r="D2478" s="30" t="s">
        <v>1853</v>
      </c>
      <c r="E2478" s="15" t="s">
        <v>1854</v>
      </c>
    </row>
    <row r="2479" spans="1:5" x14ac:dyDescent="0.25">
      <c r="A2479" s="36" t="e">
        <f>VLOOKUP($C2479,'Variable Information'!$A$2:$E$480,5,FALSE)</f>
        <v>#N/A</v>
      </c>
      <c r="B2479" s="36" t="e">
        <f>VLOOKUP($C2479,'Variable Information'!$A$1:$C$480,3,FALSE)</f>
        <v>#N/A</v>
      </c>
      <c r="C2479" s="35"/>
      <c r="D2479" s="30" t="s">
        <v>1855</v>
      </c>
      <c r="E2479" s="15" t="s">
        <v>1856</v>
      </c>
    </row>
    <row r="2480" spans="1:5" x14ac:dyDescent="0.25">
      <c r="A2480" s="36" t="e">
        <f>VLOOKUP($C2480,'Variable Information'!$A$2:$E$480,5,FALSE)</f>
        <v>#N/A</v>
      </c>
      <c r="B2480" s="36" t="e">
        <f>VLOOKUP($C2480,'Variable Information'!$A$1:$C$480,3,FALSE)</f>
        <v>#N/A</v>
      </c>
      <c r="C2480" s="35"/>
      <c r="D2480" s="30" t="s">
        <v>1857</v>
      </c>
      <c r="E2480" s="15" t="s">
        <v>1858</v>
      </c>
    </row>
    <row r="2481" spans="1:5" x14ac:dyDescent="0.25">
      <c r="A2481" s="36" t="e">
        <f>VLOOKUP($C2481,'Variable Information'!$A$2:$E$480,5,FALSE)</f>
        <v>#N/A</v>
      </c>
      <c r="B2481" s="36" t="e">
        <f>VLOOKUP($C2481,'Variable Information'!$A$1:$C$480,3,FALSE)</f>
        <v>#N/A</v>
      </c>
      <c r="C2481" s="35"/>
      <c r="D2481" s="30" t="s">
        <v>1859</v>
      </c>
      <c r="E2481" s="15" t="s">
        <v>1860</v>
      </c>
    </row>
    <row r="2482" spans="1:5" x14ac:dyDescent="0.25">
      <c r="A2482" s="36" t="e">
        <f>VLOOKUP($C2482,'Variable Information'!$A$2:$E$480,5,FALSE)</f>
        <v>#N/A</v>
      </c>
      <c r="B2482" s="36" t="e">
        <f>VLOOKUP($C2482,'Variable Information'!$A$1:$C$480,3,FALSE)</f>
        <v>#N/A</v>
      </c>
      <c r="C2482" s="35"/>
      <c r="D2482" s="30" t="s">
        <v>1861</v>
      </c>
      <c r="E2482" s="15" t="s">
        <v>1862</v>
      </c>
    </row>
    <row r="2483" spans="1:5" x14ac:dyDescent="0.25">
      <c r="A2483" s="36" t="e">
        <f>VLOOKUP($C2483,'Variable Information'!$A$2:$E$480,5,FALSE)</f>
        <v>#N/A</v>
      </c>
      <c r="B2483" s="36" t="e">
        <f>VLOOKUP($C2483,'Variable Information'!$A$1:$C$480,3,FALSE)</f>
        <v>#N/A</v>
      </c>
      <c r="C2483" s="35"/>
      <c r="D2483" s="30" t="s">
        <v>1863</v>
      </c>
      <c r="E2483" s="15" t="s">
        <v>1864</v>
      </c>
    </row>
    <row r="2484" spans="1:5" x14ac:dyDescent="0.25">
      <c r="A2484" s="36" t="e">
        <f>VLOOKUP($C2484,'Variable Information'!$A$2:$E$480,5,FALSE)</f>
        <v>#N/A</v>
      </c>
      <c r="B2484" s="36" t="e">
        <f>VLOOKUP($C2484,'Variable Information'!$A$1:$C$480,3,FALSE)</f>
        <v>#N/A</v>
      </c>
      <c r="C2484" s="35"/>
      <c r="D2484" s="30" t="s">
        <v>1865</v>
      </c>
      <c r="E2484" s="15" t="s">
        <v>1866</v>
      </c>
    </row>
    <row r="2485" spans="1:5" x14ac:dyDescent="0.25">
      <c r="A2485" s="36" t="e">
        <f>VLOOKUP($C2485,'Variable Information'!$A$2:$E$480,5,FALSE)</f>
        <v>#N/A</v>
      </c>
      <c r="B2485" s="36" t="e">
        <f>VLOOKUP($C2485,'Variable Information'!$A$1:$C$480,3,FALSE)</f>
        <v>#N/A</v>
      </c>
      <c r="C2485" s="35"/>
      <c r="D2485" s="30" t="s">
        <v>1867</v>
      </c>
      <c r="E2485" s="15" t="s">
        <v>1868</v>
      </c>
    </row>
    <row r="2486" spans="1:5" x14ac:dyDescent="0.25">
      <c r="A2486" s="36" t="e">
        <f>VLOOKUP($C2486,'Variable Information'!$A$2:$E$480,5,FALSE)</f>
        <v>#N/A</v>
      </c>
      <c r="B2486" s="36" t="e">
        <f>VLOOKUP($C2486,'Variable Information'!$A$1:$C$480,3,FALSE)</f>
        <v>#N/A</v>
      </c>
      <c r="C2486" s="35"/>
      <c r="D2486" s="30" t="s">
        <v>1869</v>
      </c>
      <c r="E2486" s="15" t="s">
        <v>1870</v>
      </c>
    </row>
    <row r="2487" spans="1:5" x14ac:dyDescent="0.25">
      <c r="A2487" s="36" t="e">
        <f>VLOOKUP($C2487,'Variable Information'!$A$2:$E$480,5,FALSE)</f>
        <v>#N/A</v>
      </c>
      <c r="B2487" s="36" t="e">
        <f>VLOOKUP($C2487,'Variable Information'!$A$1:$C$480,3,FALSE)</f>
        <v>#N/A</v>
      </c>
      <c r="C2487" s="35"/>
      <c r="D2487" s="30" t="s">
        <v>1871</v>
      </c>
      <c r="E2487" s="15" t="s">
        <v>1872</v>
      </c>
    </row>
    <row r="2488" spans="1:5" x14ac:dyDescent="0.25">
      <c r="A2488" s="36" t="e">
        <f>VLOOKUP($C2488,'Variable Information'!$A$2:$E$480,5,FALSE)</f>
        <v>#N/A</v>
      </c>
      <c r="B2488" s="36" t="e">
        <f>VLOOKUP($C2488,'Variable Information'!$A$1:$C$480,3,FALSE)</f>
        <v>#N/A</v>
      </c>
      <c r="C2488" s="35"/>
      <c r="D2488" s="30" t="s">
        <v>1873</v>
      </c>
      <c r="E2488" s="15" t="s">
        <v>1874</v>
      </c>
    </row>
    <row r="2489" spans="1:5" x14ac:dyDescent="0.25">
      <c r="A2489" s="36" t="e">
        <f>VLOOKUP($C2489,'Variable Information'!$A$2:$E$480,5,FALSE)</f>
        <v>#N/A</v>
      </c>
      <c r="B2489" s="36" t="e">
        <f>VLOOKUP($C2489,'Variable Information'!$A$1:$C$480,3,FALSE)</f>
        <v>#N/A</v>
      </c>
      <c r="C2489" s="35"/>
      <c r="D2489" s="30" t="s">
        <v>1875</v>
      </c>
      <c r="E2489" s="15" t="s">
        <v>1876</v>
      </c>
    </row>
    <row r="2490" spans="1:5" x14ac:dyDescent="0.25">
      <c r="A2490" s="36" t="e">
        <f>VLOOKUP($C2490,'Variable Information'!$A$2:$E$480,5,FALSE)</f>
        <v>#N/A</v>
      </c>
      <c r="B2490" s="36" t="e">
        <f>VLOOKUP($C2490,'Variable Information'!$A$1:$C$480,3,FALSE)</f>
        <v>#N/A</v>
      </c>
      <c r="C2490" s="35"/>
      <c r="D2490" s="30" t="s">
        <v>1877</v>
      </c>
      <c r="E2490" s="15" t="s">
        <v>1878</v>
      </c>
    </row>
    <row r="2491" spans="1:5" x14ac:dyDescent="0.25">
      <c r="A2491" s="36" t="e">
        <f>VLOOKUP($C2491,'Variable Information'!$A$2:$E$480,5,FALSE)</f>
        <v>#N/A</v>
      </c>
      <c r="B2491" s="36" t="e">
        <f>VLOOKUP($C2491,'Variable Information'!$A$1:$C$480,3,FALSE)</f>
        <v>#N/A</v>
      </c>
      <c r="C2491" s="35"/>
      <c r="D2491" s="30" t="s">
        <v>1879</v>
      </c>
      <c r="E2491" s="15" t="s">
        <v>1880</v>
      </c>
    </row>
    <row r="2492" spans="1:5" x14ac:dyDescent="0.25">
      <c r="A2492" s="36" t="e">
        <f>VLOOKUP($C2492,'Variable Information'!$A$2:$E$480,5,FALSE)</f>
        <v>#N/A</v>
      </c>
      <c r="B2492" s="36" t="e">
        <f>VLOOKUP($C2492,'Variable Information'!$A$1:$C$480,3,FALSE)</f>
        <v>#N/A</v>
      </c>
      <c r="C2492" s="35"/>
      <c r="D2492" s="30" t="s">
        <v>1881</v>
      </c>
      <c r="E2492" s="15" t="s">
        <v>1882</v>
      </c>
    </row>
    <row r="2493" spans="1:5" x14ac:dyDescent="0.25">
      <c r="A2493" s="36" t="e">
        <f>VLOOKUP($C2493,'Variable Information'!$A$2:$E$480,5,FALSE)</f>
        <v>#N/A</v>
      </c>
      <c r="B2493" s="36" t="e">
        <f>VLOOKUP($C2493,'Variable Information'!$A$1:$C$480,3,FALSE)</f>
        <v>#N/A</v>
      </c>
      <c r="C2493" s="35"/>
      <c r="D2493" s="30" t="s">
        <v>1883</v>
      </c>
      <c r="E2493" s="15" t="s">
        <v>1884</v>
      </c>
    </row>
    <row r="2494" spans="1:5" x14ac:dyDescent="0.25">
      <c r="A2494" s="36" t="e">
        <f>VLOOKUP($C2494,'Variable Information'!$A$2:$E$480,5,FALSE)</f>
        <v>#N/A</v>
      </c>
      <c r="B2494" s="36" t="e">
        <f>VLOOKUP($C2494,'Variable Information'!$A$1:$C$480,3,FALSE)</f>
        <v>#N/A</v>
      </c>
      <c r="C2494" s="35"/>
      <c r="D2494" s="30" t="s">
        <v>1885</v>
      </c>
      <c r="E2494" s="15" t="s">
        <v>1886</v>
      </c>
    </row>
    <row r="2495" spans="1:5" x14ac:dyDescent="0.25">
      <c r="A2495" s="36" t="e">
        <f>VLOOKUP($C2495,'Variable Information'!$A$2:$E$480,5,FALSE)</f>
        <v>#N/A</v>
      </c>
      <c r="B2495" s="36" t="e">
        <f>VLOOKUP($C2495,'Variable Information'!$A$1:$C$480,3,FALSE)</f>
        <v>#N/A</v>
      </c>
      <c r="C2495" s="35"/>
      <c r="D2495" s="30" t="s">
        <v>1887</v>
      </c>
      <c r="E2495" s="15" t="s">
        <v>1888</v>
      </c>
    </row>
    <row r="2496" spans="1:5" x14ac:dyDescent="0.25">
      <c r="A2496" s="36" t="e">
        <f>VLOOKUP($C2496,'Variable Information'!$A$2:$E$480,5,FALSE)</f>
        <v>#N/A</v>
      </c>
      <c r="B2496" s="36" t="e">
        <f>VLOOKUP($C2496,'Variable Information'!$A$1:$C$480,3,FALSE)</f>
        <v>#N/A</v>
      </c>
      <c r="C2496" s="35"/>
      <c r="D2496" s="30" t="s">
        <v>1889</v>
      </c>
      <c r="E2496" s="15" t="s">
        <v>1890</v>
      </c>
    </row>
    <row r="2497" spans="1:5" x14ac:dyDescent="0.25">
      <c r="A2497" s="36" t="e">
        <f>VLOOKUP($C2497,'Variable Information'!$A$2:$E$480,5,FALSE)</f>
        <v>#N/A</v>
      </c>
      <c r="B2497" s="36" t="e">
        <f>VLOOKUP($C2497,'Variable Information'!$A$1:$C$480,3,FALSE)</f>
        <v>#N/A</v>
      </c>
      <c r="C2497" s="35"/>
      <c r="D2497" s="30" t="s">
        <v>1891</v>
      </c>
      <c r="E2497" s="15" t="s">
        <v>1892</v>
      </c>
    </row>
    <row r="2498" spans="1:5" x14ac:dyDescent="0.25">
      <c r="A2498" s="36" t="e">
        <f>VLOOKUP($C2498,'Variable Information'!$A$2:$E$480,5,FALSE)</f>
        <v>#N/A</v>
      </c>
      <c r="B2498" s="36" t="e">
        <f>VLOOKUP($C2498,'Variable Information'!$A$1:$C$480,3,FALSE)</f>
        <v>#N/A</v>
      </c>
      <c r="C2498" s="35"/>
      <c r="D2498" s="30" t="s">
        <v>1893</v>
      </c>
      <c r="E2498" s="15" t="s">
        <v>1894</v>
      </c>
    </row>
    <row r="2499" spans="1:5" x14ac:dyDescent="0.25">
      <c r="A2499" s="36" t="e">
        <f>VLOOKUP($C2499,'Variable Information'!$A$2:$E$480,5,FALSE)</f>
        <v>#N/A</v>
      </c>
      <c r="B2499" s="36" t="e">
        <f>VLOOKUP($C2499,'Variable Information'!$A$1:$C$480,3,FALSE)</f>
        <v>#N/A</v>
      </c>
      <c r="C2499" s="35"/>
      <c r="D2499" s="30" t="s">
        <v>1895</v>
      </c>
      <c r="E2499" s="15" t="s">
        <v>1896</v>
      </c>
    </row>
    <row r="2500" spans="1:5" x14ac:dyDescent="0.25">
      <c r="A2500" s="36" t="e">
        <f>VLOOKUP($C2500,'Variable Information'!$A$2:$E$480,5,FALSE)</f>
        <v>#N/A</v>
      </c>
      <c r="B2500" s="36" t="e">
        <f>VLOOKUP($C2500,'Variable Information'!$A$1:$C$480,3,FALSE)</f>
        <v>#N/A</v>
      </c>
      <c r="C2500" s="35"/>
      <c r="D2500" s="30" t="s">
        <v>1897</v>
      </c>
      <c r="E2500" s="15" t="s">
        <v>1898</v>
      </c>
    </row>
    <row r="2501" spans="1:5" x14ac:dyDescent="0.25">
      <c r="A2501" s="36" t="e">
        <f>VLOOKUP($C2501,'Variable Information'!$A$2:$E$480,5,FALSE)</f>
        <v>#N/A</v>
      </c>
      <c r="B2501" s="36" t="e">
        <f>VLOOKUP($C2501,'Variable Information'!$A$1:$C$480,3,FALSE)</f>
        <v>#N/A</v>
      </c>
      <c r="C2501" s="35"/>
      <c r="D2501" s="30" t="s">
        <v>1899</v>
      </c>
      <c r="E2501" s="15" t="s">
        <v>1900</v>
      </c>
    </row>
    <row r="2502" spans="1:5" x14ac:dyDescent="0.25">
      <c r="A2502" s="36" t="e">
        <f>VLOOKUP($C2502,'Variable Information'!$A$2:$E$480,5,FALSE)</f>
        <v>#N/A</v>
      </c>
      <c r="B2502" s="36" t="e">
        <f>VLOOKUP($C2502,'Variable Information'!$A$1:$C$480,3,FALSE)</f>
        <v>#N/A</v>
      </c>
      <c r="C2502" s="35"/>
      <c r="D2502" s="30" t="s">
        <v>1901</v>
      </c>
      <c r="E2502" s="15" t="s">
        <v>1902</v>
      </c>
    </row>
    <row r="2503" spans="1:5" x14ac:dyDescent="0.25">
      <c r="A2503" s="36" t="e">
        <f>VLOOKUP($C2503,'Variable Information'!$A$2:$E$480,5,FALSE)</f>
        <v>#N/A</v>
      </c>
      <c r="B2503" s="36" t="e">
        <f>VLOOKUP($C2503,'Variable Information'!$A$1:$C$480,3,FALSE)</f>
        <v>#N/A</v>
      </c>
      <c r="C2503" s="35"/>
      <c r="D2503" s="30" t="s">
        <v>1903</v>
      </c>
      <c r="E2503" s="15" t="s">
        <v>1904</v>
      </c>
    </row>
    <row r="2504" spans="1:5" x14ac:dyDescent="0.25">
      <c r="A2504" s="36" t="e">
        <f>VLOOKUP($C2504,'Variable Information'!$A$2:$E$480,5,FALSE)</f>
        <v>#N/A</v>
      </c>
      <c r="B2504" s="36" t="e">
        <f>VLOOKUP($C2504,'Variable Information'!$A$1:$C$480,3,FALSE)</f>
        <v>#N/A</v>
      </c>
      <c r="C2504" s="35"/>
      <c r="D2504" s="30" t="s">
        <v>1905</v>
      </c>
      <c r="E2504" s="15" t="s">
        <v>1906</v>
      </c>
    </row>
    <row r="2505" spans="1:5" x14ac:dyDescent="0.25">
      <c r="A2505" s="36" t="e">
        <f>VLOOKUP($C2505,'Variable Information'!$A$2:$E$480,5,FALSE)</f>
        <v>#N/A</v>
      </c>
      <c r="B2505" s="36" t="e">
        <f>VLOOKUP($C2505,'Variable Information'!$A$1:$C$480,3,FALSE)</f>
        <v>#N/A</v>
      </c>
      <c r="C2505" s="35"/>
      <c r="D2505" s="30" t="s">
        <v>1907</v>
      </c>
      <c r="E2505" s="15" t="s">
        <v>1908</v>
      </c>
    </row>
    <row r="2506" spans="1:5" x14ac:dyDescent="0.25">
      <c r="A2506" s="36" t="e">
        <f>VLOOKUP($C2506,'Variable Information'!$A$2:$E$480,5,FALSE)</f>
        <v>#N/A</v>
      </c>
      <c r="B2506" s="36" t="e">
        <f>VLOOKUP($C2506,'Variable Information'!$A$1:$C$480,3,FALSE)</f>
        <v>#N/A</v>
      </c>
      <c r="C2506" s="35"/>
      <c r="D2506" s="30" t="s">
        <v>1909</v>
      </c>
      <c r="E2506" s="15" t="s">
        <v>1663</v>
      </c>
    </row>
    <row r="2507" spans="1:5" x14ac:dyDescent="0.25">
      <c r="A2507" s="36" t="str">
        <f>VLOOKUP($C2507,'Variable Information'!$A$2:$E$480,5,FALSE)</f>
        <v>marital</v>
      </c>
      <c r="B2507" s="36" t="str">
        <f>VLOOKUP($C2507,'Variable Information'!$A$1:$C$480,3,FALSE)</f>
        <v>Q5. Which of the following best describes your current status?</v>
      </c>
      <c r="C2507" s="35" t="s">
        <v>1365</v>
      </c>
      <c r="D2507" s="30" t="s">
        <v>1447</v>
      </c>
      <c r="E2507" s="15" t="s">
        <v>1910</v>
      </c>
    </row>
    <row r="2508" spans="1:5" x14ac:dyDescent="0.25">
      <c r="A2508" s="36" t="e">
        <f>VLOOKUP($C2508,'Variable Information'!$A$2:$E$480,5,FALSE)</f>
        <v>#N/A</v>
      </c>
      <c r="B2508" s="36" t="e">
        <f>VLOOKUP($C2508,'Variable Information'!$A$1:$C$480,3,FALSE)</f>
        <v>#N/A</v>
      </c>
      <c r="C2508" s="35"/>
      <c r="D2508" s="30" t="s">
        <v>1449</v>
      </c>
      <c r="E2508" s="15" t="s">
        <v>1911</v>
      </c>
    </row>
    <row r="2509" spans="1:5" x14ac:dyDescent="0.25">
      <c r="A2509" s="36" t="e">
        <f>VLOOKUP($C2509,'Variable Information'!$A$2:$E$480,5,FALSE)</f>
        <v>#N/A</v>
      </c>
      <c r="B2509" s="36" t="e">
        <f>VLOOKUP($C2509,'Variable Information'!$A$1:$C$480,3,FALSE)</f>
        <v>#N/A</v>
      </c>
      <c r="C2509" s="35"/>
      <c r="D2509" s="30" t="s">
        <v>1451</v>
      </c>
      <c r="E2509" s="15" t="s">
        <v>1912</v>
      </c>
    </row>
    <row r="2510" spans="1:5" x14ac:dyDescent="0.25">
      <c r="A2510" s="36" t="e">
        <f>VLOOKUP($C2510,'Variable Information'!$A$2:$E$480,5,FALSE)</f>
        <v>#N/A</v>
      </c>
      <c r="B2510" s="36" t="e">
        <f>VLOOKUP($C2510,'Variable Information'!$A$1:$C$480,3,FALSE)</f>
        <v>#N/A</v>
      </c>
      <c r="C2510" s="35"/>
      <c r="D2510" s="30" t="s">
        <v>1456</v>
      </c>
      <c r="E2510" s="15" t="s">
        <v>1913</v>
      </c>
    </row>
    <row r="2511" spans="1:5" x14ac:dyDescent="0.25">
      <c r="A2511" s="36" t="e">
        <f>VLOOKUP($C2511,'Variable Information'!$A$2:$E$480,5,FALSE)</f>
        <v>#N/A</v>
      </c>
      <c r="B2511" s="36" t="e">
        <f>VLOOKUP($C2511,'Variable Information'!$A$1:$C$480,3,FALSE)</f>
        <v>#N/A</v>
      </c>
      <c r="C2511" s="35"/>
      <c r="D2511" s="30" t="s">
        <v>1458</v>
      </c>
      <c r="E2511" s="15" t="s">
        <v>1914</v>
      </c>
    </row>
    <row r="2512" spans="1:5" x14ac:dyDescent="0.25">
      <c r="A2512" s="36" t="e">
        <f>VLOOKUP($C2512,'Variable Information'!$A$2:$E$480,5,FALSE)</f>
        <v>#N/A</v>
      </c>
      <c r="B2512" s="36" t="e">
        <f>VLOOKUP($C2512,'Variable Information'!$A$1:$C$480,3,FALSE)</f>
        <v>#N/A</v>
      </c>
      <c r="C2512" s="35"/>
      <c r="D2512" s="30" t="s">
        <v>1460</v>
      </c>
      <c r="E2512" s="15" t="s">
        <v>1915</v>
      </c>
    </row>
    <row r="2513" spans="1:5" x14ac:dyDescent="0.25">
      <c r="A2513" s="36" t="e">
        <f>VLOOKUP($C2513,'Variable Information'!$A$2:$E$480,5,FALSE)</f>
        <v>#N/A</v>
      </c>
      <c r="B2513" s="36" t="e">
        <f>VLOOKUP($C2513,'Variable Information'!$A$1:$C$480,3,FALSE)</f>
        <v>#N/A</v>
      </c>
      <c r="C2513" s="35"/>
      <c r="D2513" s="30" t="s">
        <v>1462</v>
      </c>
      <c r="E2513" s="15" t="s">
        <v>1559</v>
      </c>
    </row>
    <row r="2514" spans="1:5" x14ac:dyDescent="0.25">
      <c r="A2514" s="36" t="str">
        <f>VLOOKUP($C2514,'Variable Information'!$A$2:$E$480,5,FALSE)</f>
        <v>A1_cat</v>
      </c>
      <c r="B2514" s="36" t="str">
        <f>VLOOKUP($C2514,'Variable Information'!$A$1:$C$480,3,FALSE)</f>
        <v>Q19_1. How many adults aged 18 or over (including yourself) live in your household?</v>
      </c>
      <c r="C2514" s="35" t="s">
        <v>1368</v>
      </c>
      <c r="D2514" s="30" t="s">
        <v>1447</v>
      </c>
      <c r="E2514" s="15" t="s">
        <v>1447</v>
      </c>
    </row>
    <row r="2515" spans="1:5" x14ac:dyDescent="0.25">
      <c r="A2515" s="36" t="e">
        <f>VLOOKUP($C2515,'Variable Information'!$A$2:$E$480,5,FALSE)</f>
        <v>#N/A</v>
      </c>
      <c r="B2515" s="36" t="e">
        <f>VLOOKUP($C2515,'Variable Information'!$A$1:$C$480,3,FALSE)</f>
        <v>#N/A</v>
      </c>
      <c r="C2515" s="35"/>
      <c r="D2515" s="30" t="s">
        <v>1449</v>
      </c>
      <c r="E2515" s="15" t="s">
        <v>1449</v>
      </c>
    </row>
    <row r="2516" spans="1:5" x14ac:dyDescent="0.25">
      <c r="A2516" s="36" t="e">
        <f>VLOOKUP($C2516,'Variable Information'!$A$2:$E$480,5,FALSE)</f>
        <v>#N/A</v>
      </c>
      <c r="B2516" s="36" t="e">
        <f>VLOOKUP($C2516,'Variable Information'!$A$1:$C$480,3,FALSE)</f>
        <v>#N/A</v>
      </c>
      <c r="C2516" s="35"/>
      <c r="D2516" s="30" t="s">
        <v>1451</v>
      </c>
      <c r="E2516" s="15" t="s">
        <v>1451</v>
      </c>
    </row>
    <row r="2517" spans="1:5" x14ac:dyDescent="0.25">
      <c r="A2517" s="36" t="e">
        <f>VLOOKUP($C2517,'Variable Information'!$A$2:$E$480,5,FALSE)</f>
        <v>#N/A</v>
      </c>
      <c r="B2517" s="36" t="e">
        <f>VLOOKUP($C2517,'Variable Information'!$A$1:$C$480,3,FALSE)</f>
        <v>#N/A</v>
      </c>
      <c r="C2517" s="35"/>
      <c r="D2517" s="30" t="s">
        <v>1456</v>
      </c>
      <c r="E2517" s="15" t="s">
        <v>1456</v>
      </c>
    </row>
    <row r="2518" spans="1:5" x14ac:dyDescent="0.25">
      <c r="A2518" s="36" t="e">
        <f>VLOOKUP($C2518,'Variable Information'!$A$2:$E$480,5,FALSE)</f>
        <v>#N/A</v>
      </c>
      <c r="B2518" s="36" t="e">
        <f>VLOOKUP($C2518,'Variable Information'!$A$1:$C$480,3,FALSE)</f>
        <v>#N/A</v>
      </c>
      <c r="C2518" s="35"/>
      <c r="D2518" s="30" t="s">
        <v>1458</v>
      </c>
      <c r="E2518" s="15" t="s">
        <v>1458</v>
      </c>
    </row>
    <row r="2519" spans="1:5" x14ac:dyDescent="0.25">
      <c r="A2519" s="36" t="e">
        <f>VLOOKUP($C2519,'Variable Information'!$A$2:$E$480,5,FALSE)</f>
        <v>#N/A</v>
      </c>
      <c r="B2519" s="36" t="e">
        <f>VLOOKUP($C2519,'Variable Information'!$A$1:$C$480,3,FALSE)</f>
        <v>#N/A</v>
      </c>
      <c r="C2519" s="35"/>
      <c r="D2519" s="30" t="s">
        <v>1460</v>
      </c>
      <c r="E2519" s="15" t="s">
        <v>1916</v>
      </c>
    </row>
    <row r="2520" spans="1:5" x14ac:dyDescent="0.25">
      <c r="A2520" s="36" t="str">
        <f>VLOOKUP($C2520,'Variable Information'!$A$2:$E$480,5,FALSE)</f>
        <v>A1_children_cat</v>
      </c>
      <c r="B2520" s="36" t="str">
        <f>VLOOKUP($C2520,'Variable Information'!$A$1:$C$480,3,FALSE)</f>
        <v>Q19_2. How many children aged under 18 live in your household, at least some of the time?</v>
      </c>
      <c r="C2520" s="35" t="s">
        <v>1372</v>
      </c>
      <c r="D2520" s="30" t="s">
        <v>1447</v>
      </c>
      <c r="E2520" s="15" t="s">
        <v>1917</v>
      </c>
    </row>
    <row r="2521" spans="1:5" x14ac:dyDescent="0.25">
      <c r="A2521" s="36" t="e">
        <f>VLOOKUP($C2521,'Variable Information'!$A$2:$E$480,5,FALSE)</f>
        <v>#N/A</v>
      </c>
      <c r="B2521" s="36" t="e">
        <f>VLOOKUP($C2521,'Variable Information'!$A$1:$C$480,3,FALSE)</f>
        <v>#N/A</v>
      </c>
      <c r="C2521" s="35"/>
      <c r="D2521" s="30" t="s">
        <v>1449</v>
      </c>
      <c r="E2521" s="15" t="s">
        <v>1447</v>
      </c>
    </row>
    <row r="2522" spans="1:5" x14ac:dyDescent="0.25">
      <c r="A2522" s="36" t="e">
        <f>VLOOKUP($C2522,'Variable Information'!$A$2:$E$480,5,FALSE)</f>
        <v>#N/A</v>
      </c>
      <c r="B2522" s="36" t="e">
        <f>VLOOKUP($C2522,'Variable Information'!$A$1:$C$480,3,FALSE)</f>
        <v>#N/A</v>
      </c>
      <c r="C2522" s="35"/>
      <c r="D2522" s="30" t="s">
        <v>1451</v>
      </c>
      <c r="E2522" s="15" t="s">
        <v>1449</v>
      </c>
    </row>
    <row r="2523" spans="1:5" x14ac:dyDescent="0.25">
      <c r="A2523" s="36" t="e">
        <f>VLOOKUP($C2523,'Variable Information'!$A$2:$E$480,5,FALSE)</f>
        <v>#N/A</v>
      </c>
      <c r="B2523" s="36" t="e">
        <f>VLOOKUP($C2523,'Variable Information'!$A$1:$C$480,3,FALSE)</f>
        <v>#N/A</v>
      </c>
      <c r="C2523" s="35"/>
      <c r="D2523" s="30" t="s">
        <v>1456</v>
      </c>
      <c r="E2523" s="15" t="s">
        <v>1451</v>
      </c>
    </row>
    <row r="2524" spans="1:5" x14ac:dyDescent="0.25">
      <c r="A2524" s="36" t="e">
        <f>VLOOKUP($C2524,'Variable Information'!$A$2:$E$480,5,FALSE)</f>
        <v>#N/A</v>
      </c>
      <c r="B2524" s="36" t="e">
        <f>VLOOKUP($C2524,'Variable Information'!$A$1:$C$480,3,FALSE)</f>
        <v>#N/A</v>
      </c>
      <c r="C2524" s="35"/>
      <c r="D2524" s="30" t="s">
        <v>1458</v>
      </c>
      <c r="E2524" s="15" t="s">
        <v>1456</v>
      </c>
    </row>
    <row r="2525" spans="1:5" x14ac:dyDescent="0.25">
      <c r="A2525" s="36" t="e">
        <f>VLOOKUP($C2525,'Variable Information'!$A$2:$E$480,5,FALSE)</f>
        <v>#N/A</v>
      </c>
      <c r="B2525" s="36" t="e">
        <f>VLOOKUP($C2525,'Variable Information'!$A$1:$C$480,3,FALSE)</f>
        <v>#N/A</v>
      </c>
      <c r="C2525" s="35"/>
      <c r="D2525" s="30" t="s">
        <v>1460</v>
      </c>
      <c r="E2525" s="15" t="s">
        <v>1458</v>
      </c>
    </row>
    <row r="2526" spans="1:5" x14ac:dyDescent="0.25">
      <c r="A2526" s="36" t="e">
        <f>VLOOKUP($C2526,'Variable Information'!$A$2:$E$480,5,FALSE)</f>
        <v>#N/A</v>
      </c>
      <c r="B2526" s="36" t="e">
        <f>VLOOKUP($C2526,'Variable Information'!$A$1:$C$480,3,FALSE)</f>
        <v>#N/A</v>
      </c>
      <c r="C2526" s="35"/>
      <c r="D2526" s="30" t="s">
        <v>1462</v>
      </c>
      <c r="E2526" s="15" t="s">
        <v>1916</v>
      </c>
    </row>
    <row r="2527" spans="1:5" x14ac:dyDescent="0.25">
      <c r="A2527" s="36" t="str">
        <f>VLOOKUP($C2527,'Variable Information'!$A$2:$E$480,5,FALSE)</f>
        <v>children_home</v>
      </c>
      <c r="B2527" s="36" t="str">
        <f>VLOOKUP($C2527,'Variable Information'!$A$1:$C$480,3,FALSE)</f>
        <v>Q19_3. Do any of the children that live in your household, sometimes live in another household?</v>
      </c>
      <c r="C2527" s="35" t="s">
        <v>1376</v>
      </c>
      <c r="D2527" s="30" t="s">
        <v>1447</v>
      </c>
      <c r="E2527" s="15" t="s">
        <v>1557</v>
      </c>
    </row>
    <row r="2528" spans="1:5" x14ac:dyDescent="0.25">
      <c r="A2528" s="36" t="e">
        <f>VLOOKUP($C2528,'Variable Information'!$A$2:$E$480,5,FALSE)</f>
        <v>#N/A</v>
      </c>
      <c r="B2528" s="36" t="e">
        <f>VLOOKUP($C2528,'Variable Information'!$A$1:$C$480,3,FALSE)</f>
        <v>#N/A</v>
      </c>
      <c r="C2528" s="35"/>
      <c r="D2528" s="30" t="s">
        <v>1449</v>
      </c>
      <c r="E2528" s="15" t="s">
        <v>1558</v>
      </c>
    </row>
    <row r="2529" spans="1:5" x14ac:dyDescent="0.25">
      <c r="A2529" s="36" t="e">
        <f>VLOOKUP($C2529,'Variable Information'!$A$2:$E$480,5,FALSE)</f>
        <v>#N/A</v>
      </c>
      <c r="B2529" s="36" t="e">
        <f>VLOOKUP($C2529,'Variable Information'!$A$1:$C$480,3,FALSE)</f>
        <v>#N/A</v>
      </c>
      <c r="C2529" s="35"/>
      <c r="D2529" s="30" t="s">
        <v>1451</v>
      </c>
      <c r="E2529" s="15" t="s">
        <v>1559</v>
      </c>
    </row>
    <row r="2530" spans="1:5" x14ac:dyDescent="0.25">
      <c r="A2530" s="36" t="str">
        <f>VLOOKUP($C2530,'Variable Information'!$A$2:$E$480,5,FALSE)</f>
        <v>income</v>
      </c>
      <c r="B2530" s="36" t="str">
        <f>VLOOKUP($C2530,'Variable Information'!$A$1:$C$480,3,FALSE)</f>
        <v>Q20. Approximately what is the total of your household income, from all sources including benefits, before tax?</v>
      </c>
      <c r="C2530" s="35" t="s">
        <v>1379</v>
      </c>
      <c r="D2530" s="30" t="s">
        <v>1447</v>
      </c>
      <c r="E2530" s="15" t="s">
        <v>1918</v>
      </c>
    </row>
    <row r="2531" spans="1:5" x14ac:dyDescent="0.25">
      <c r="A2531" s="36" t="e">
        <f>VLOOKUP($C2531,'Variable Information'!$A$2:$E$480,5,FALSE)</f>
        <v>#N/A</v>
      </c>
      <c r="B2531" s="36" t="e">
        <f>VLOOKUP($C2531,'Variable Information'!$A$1:$C$480,3,FALSE)</f>
        <v>#N/A</v>
      </c>
      <c r="C2531" s="35"/>
      <c r="D2531" s="30" t="s">
        <v>1449</v>
      </c>
      <c r="E2531" s="15" t="s">
        <v>1919</v>
      </c>
    </row>
    <row r="2532" spans="1:5" x14ac:dyDescent="0.25">
      <c r="A2532" s="36" t="e">
        <f>VLOOKUP($C2532,'Variable Information'!$A$2:$E$480,5,FALSE)</f>
        <v>#N/A</v>
      </c>
      <c r="B2532" s="36" t="e">
        <f>VLOOKUP($C2532,'Variable Information'!$A$1:$C$480,3,FALSE)</f>
        <v>#N/A</v>
      </c>
      <c r="C2532" s="35"/>
      <c r="D2532" s="30" t="s">
        <v>1451</v>
      </c>
      <c r="E2532" s="15" t="s">
        <v>1920</v>
      </c>
    </row>
    <row r="2533" spans="1:5" x14ac:dyDescent="0.25">
      <c r="A2533" s="36" t="e">
        <f>VLOOKUP($C2533,'Variable Information'!$A$2:$E$480,5,FALSE)</f>
        <v>#N/A</v>
      </c>
      <c r="B2533" s="36" t="e">
        <f>VLOOKUP($C2533,'Variable Information'!$A$1:$C$480,3,FALSE)</f>
        <v>#N/A</v>
      </c>
      <c r="C2533" s="35"/>
      <c r="D2533" s="30" t="s">
        <v>1456</v>
      </c>
      <c r="E2533" s="15" t="s">
        <v>1921</v>
      </c>
    </row>
    <row r="2534" spans="1:5" x14ac:dyDescent="0.25">
      <c r="A2534" s="36" t="e">
        <f>VLOOKUP($C2534,'Variable Information'!$A$2:$E$480,5,FALSE)</f>
        <v>#N/A</v>
      </c>
      <c r="B2534" s="36" t="e">
        <f>VLOOKUP($C2534,'Variable Information'!$A$1:$C$480,3,FALSE)</f>
        <v>#N/A</v>
      </c>
      <c r="C2534" s="35"/>
      <c r="D2534" s="30" t="s">
        <v>1458</v>
      </c>
      <c r="E2534" s="15" t="s">
        <v>1559</v>
      </c>
    </row>
    <row r="2535" spans="1:5" x14ac:dyDescent="0.25">
      <c r="A2535" s="24">
        <f>VLOOKUP($C2535,'Variable Information'!$A$2:$E$480,5,FALSE)</f>
        <v>0</v>
      </c>
      <c r="B2535" s="24" t="str">
        <f>VLOOKUP($C2535,'Variable Information'!$A$1:$C$480,3,FALSE)</f>
        <v>Q24_2_DKNA</v>
      </c>
      <c r="C2535" s="26" t="s">
        <v>1400</v>
      </c>
      <c r="D2535" s="30" t="s">
        <v>1447</v>
      </c>
      <c r="E2535" s="15" t="s">
        <v>1663</v>
      </c>
    </row>
    <row r="2536" spans="1:5" x14ac:dyDescent="0.25">
      <c r="A2536" s="24">
        <f>VLOOKUP($C2536,'Variable Information'!$A$2:$E$480,5,FALSE)</f>
        <v>0</v>
      </c>
      <c r="B2536" s="24" t="str">
        <f>VLOOKUP($C2536,'Variable Information'!$A$1:$C$480,3,FALSE)</f>
        <v>Q24_3_DKNA</v>
      </c>
      <c r="C2536" s="26" t="s">
        <v>1405</v>
      </c>
      <c r="D2536" s="30" t="s">
        <v>1447</v>
      </c>
      <c r="E2536" s="15" t="s">
        <v>1663</v>
      </c>
    </row>
    <row r="2537" spans="1:5" x14ac:dyDescent="0.25">
      <c r="A2537" s="25">
        <f>VLOOKUP($C2537,'Variable Information'!$A$2:$E$480,5,FALSE)</f>
        <v>0</v>
      </c>
      <c r="B2537" s="25" t="str">
        <f>VLOOKUP($C2537,'Variable Information'!$A$1:$C$480,3,FALSE)</f>
        <v>Q34_DKNA</v>
      </c>
      <c r="C2537" s="27" t="s">
        <v>1429</v>
      </c>
      <c r="D2537" s="30" t="s">
        <v>1447</v>
      </c>
      <c r="E2537" s="16" t="s">
        <v>1663</v>
      </c>
    </row>
  </sheetData>
  <mergeCells count="1354">
    <mergeCell ref="B2507:B2513"/>
    <mergeCell ref="B2514:B2519"/>
    <mergeCell ref="B2520:B2526"/>
    <mergeCell ref="B2527:B2529"/>
    <mergeCell ref="B2530:B2534"/>
    <mergeCell ref="B2343:B2345"/>
    <mergeCell ref="B2346:B2348"/>
    <mergeCell ref="B2349:B2351"/>
    <mergeCell ref="B2352:B2354"/>
    <mergeCell ref="B2355:B2357"/>
    <mergeCell ref="B2358:B2361"/>
    <mergeCell ref="B2362:B2376"/>
    <mergeCell ref="B2377:B2379"/>
    <mergeCell ref="B2380:B2506"/>
    <mergeCell ref="B2316:B2318"/>
    <mergeCell ref="B2319:B2321"/>
    <mergeCell ref="B2322:B2324"/>
    <mergeCell ref="B2325:B2327"/>
    <mergeCell ref="B2328:B2330"/>
    <mergeCell ref="B2331:B2333"/>
    <mergeCell ref="B2334:B2336"/>
    <mergeCell ref="B2337:B2339"/>
    <mergeCell ref="B2340:B2342"/>
    <mergeCell ref="B2276:B2286"/>
    <mergeCell ref="B2287:B2288"/>
    <mergeCell ref="B2289:B2292"/>
    <mergeCell ref="B2293:B2296"/>
    <mergeCell ref="B2297:B2300"/>
    <mergeCell ref="B2301:B2304"/>
    <mergeCell ref="B2305:B2309"/>
    <mergeCell ref="B2310:B2312"/>
    <mergeCell ref="B2313:B2315"/>
    <mergeCell ref="B2240:B2243"/>
    <mergeCell ref="B2244:B2247"/>
    <mergeCell ref="B2248:B2251"/>
    <mergeCell ref="B2252:B2255"/>
    <mergeCell ref="B2256:B2259"/>
    <mergeCell ref="B2260:B2263"/>
    <mergeCell ref="B2264:B2267"/>
    <mergeCell ref="B2268:B2271"/>
    <mergeCell ref="B2272:B2275"/>
    <mergeCell ref="B2204:B2207"/>
    <mergeCell ref="B2208:B2211"/>
    <mergeCell ref="B2212:B2215"/>
    <mergeCell ref="B2216:B2219"/>
    <mergeCell ref="B2220:B2223"/>
    <mergeCell ref="B2224:B2227"/>
    <mergeCell ref="B2228:B2231"/>
    <mergeCell ref="B2232:B2235"/>
    <mergeCell ref="B2236:B2239"/>
    <mergeCell ref="B2168:B2171"/>
    <mergeCell ref="B2172:B2175"/>
    <mergeCell ref="B2176:B2179"/>
    <mergeCell ref="B2180:B2183"/>
    <mergeCell ref="B2184:B2187"/>
    <mergeCell ref="B2188:B2191"/>
    <mergeCell ref="B2192:B2195"/>
    <mergeCell ref="B2196:B2199"/>
    <mergeCell ref="B2200:B2203"/>
    <mergeCell ref="B2132:B2135"/>
    <mergeCell ref="B2136:B2139"/>
    <mergeCell ref="B2140:B2143"/>
    <mergeCell ref="B2144:B2147"/>
    <mergeCell ref="B2148:B2151"/>
    <mergeCell ref="B2152:B2155"/>
    <mergeCell ref="B2156:B2159"/>
    <mergeCell ref="B2160:B2163"/>
    <mergeCell ref="B2164:B2167"/>
    <mergeCell ref="B2086:B2091"/>
    <mergeCell ref="B2092:B2097"/>
    <mergeCell ref="B2098:B2103"/>
    <mergeCell ref="B2104:B2109"/>
    <mergeCell ref="B2110:B2115"/>
    <mergeCell ref="B2116:B2119"/>
    <mergeCell ref="B2120:B2123"/>
    <mergeCell ref="B2124:B2127"/>
    <mergeCell ref="B2128:B2131"/>
    <mergeCell ref="B2032:B2037"/>
    <mergeCell ref="B2038:B2043"/>
    <mergeCell ref="B2044:B2049"/>
    <mergeCell ref="B2050:B2055"/>
    <mergeCell ref="B2056:B2061"/>
    <mergeCell ref="B2062:B2067"/>
    <mergeCell ref="B2068:B2073"/>
    <mergeCell ref="B2074:B2079"/>
    <mergeCell ref="B2080:B2085"/>
    <mergeCell ref="B1978:B1983"/>
    <mergeCell ref="B1984:B1989"/>
    <mergeCell ref="B1990:B1995"/>
    <mergeCell ref="B1996:B2001"/>
    <mergeCell ref="B2002:B2007"/>
    <mergeCell ref="B2008:B2013"/>
    <mergeCell ref="B2014:B2019"/>
    <mergeCell ref="B2020:B2025"/>
    <mergeCell ref="B2026:B2031"/>
    <mergeCell ref="B1924:B1929"/>
    <mergeCell ref="B1930:B1935"/>
    <mergeCell ref="B1936:B1941"/>
    <mergeCell ref="B1942:B1947"/>
    <mergeCell ref="B1948:B1953"/>
    <mergeCell ref="B1954:B1959"/>
    <mergeCell ref="B1960:B1965"/>
    <mergeCell ref="B1966:B1971"/>
    <mergeCell ref="B1972:B1977"/>
    <mergeCell ref="B1870:B1875"/>
    <mergeCell ref="B1876:B1881"/>
    <mergeCell ref="B1882:B1887"/>
    <mergeCell ref="B1888:B1893"/>
    <mergeCell ref="B1894:B1899"/>
    <mergeCell ref="B1900:B1905"/>
    <mergeCell ref="B1906:B1911"/>
    <mergeCell ref="B1912:B1917"/>
    <mergeCell ref="B1918:B1923"/>
    <mergeCell ref="B1816:B1821"/>
    <mergeCell ref="B1822:B1827"/>
    <mergeCell ref="B1828:B1833"/>
    <mergeCell ref="B1834:B1839"/>
    <mergeCell ref="B1840:B1845"/>
    <mergeCell ref="B1846:B1851"/>
    <mergeCell ref="B1852:B1857"/>
    <mergeCell ref="B1858:B1863"/>
    <mergeCell ref="B1864:B1869"/>
    <mergeCell ref="B1762:B1767"/>
    <mergeCell ref="B1768:B1773"/>
    <mergeCell ref="B1774:B1779"/>
    <mergeCell ref="B1780:B1785"/>
    <mergeCell ref="B1786:B1791"/>
    <mergeCell ref="B1792:B1797"/>
    <mergeCell ref="B1798:B1803"/>
    <mergeCell ref="B1804:B1809"/>
    <mergeCell ref="B1810:B1815"/>
    <mergeCell ref="B1708:B1713"/>
    <mergeCell ref="B1714:B1719"/>
    <mergeCell ref="B1720:B1725"/>
    <mergeCell ref="B1726:B1731"/>
    <mergeCell ref="B1732:B1737"/>
    <mergeCell ref="B1738:B1743"/>
    <mergeCell ref="B1744:B1749"/>
    <mergeCell ref="B1750:B1755"/>
    <mergeCell ref="B1756:B1761"/>
    <mergeCell ref="B1654:B1659"/>
    <mergeCell ref="B1660:B1665"/>
    <mergeCell ref="B1666:B1671"/>
    <mergeCell ref="B1672:B1677"/>
    <mergeCell ref="B1678:B1683"/>
    <mergeCell ref="B1684:B1689"/>
    <mergeCell ref="B1690:B1695"/>
    <mergeCell ref="B1696:B1701"/>
    <mergeCell ref="B1702:B1707"/>
    <mergeCell ref="B1600:B1605"/>
    <mergeCell ref="B1606:B1611"/>
    <mergeCell ref="B1612:B1617"/>
    <mergeCell ref="B1618:B1623"/>
    <mergeCell ref="B1624:B1629"/>
    <mergeCell ref="B1630:B1635"/>
    <mergeCell ref="B1636:B1641"/>
    <mergeCell ref="B1642:B1647"/>
    <mergeCell ref="B1648:B1653"/>
    <mergeCell ref="B1566:B1567"/>
    <mergeCell ref="B1568:B1569"/>
    <mergeCell ref="B1570:B1571"/>
    <mergeCell ref="B1572:B1573"/>
    <mergeCell ref="B1574:B1575"/>
    <mergeCell ref="B1576:B1581"/>
    <mergeCell ref="B1582:B1587"/>
    <mergeCell ref="B1588:B1593"/>
    <mergeCell ref="B1594:B1599"/>
    <mergeCell ref="B1548:B1549"/>
    <mergeCell ref="B1550:B1551"/>
    <mergeCell ref="B1552:B1553"/>
    <mergeCell ref="B1554:B1555"/>
    <mergeCell ref="B1556:B1557"/>
    <mergeCell ref="B1558:B1559"/>
    <mergeCell ref="B1560:B1561"/>
    <mergeCell ref="B1562:B1563"/>
    <mergeCell ref="B1564:B1565"/>
    <mergeCell ref="B1525:B1527"/>
    <mergeCell ref="B1528:B1530"/>
    <mergeCell ref="B1531:B1533"/>
    <mergeCell ref="B1534:B1536"/>
    <mergeCell ref="B1537:B1539"/>
    <mergeCell ref="B1540:B1541"/>
    <mergeCell ref="B1542:B1543"/>
    <mergeCell ref="B1544:B1545"/>
    <mergeCell ref="B1546:B1547"/>
    <mergeCell ref="B1501:B1502"/>
    <mergeCell ref="B1503:B1504"/>
    <mergeCell ref="B1505:B1506"/>
    <mergeCell ref="B1507:B1509"/>
    <mergeCell ref="B1510:B1512"/>
    <mergeCell ref="B1513:B1515"/>
    <mergeCell ref="B1516:B1518"/>
    <mergeCell ref="B1519:B1521"/>
    <mergeCell ref="B1522:B1524"/>
    <mergeCell ref="B1483:B1484"/>
    <mergeCell ref="B1485:B1486"/>
    <mergeCell ref="B1487:B1488"/>
    <mergeCell ref="B1489:B1490"/>
    <mergeCell ref="B1491:B1492"/>
    <mergeCell ref="B1493:B1494"/>
    <mergeCell ref="B1495:B1496"/>
    <mergeCell ref="B1497:B1498"/>
    <mergeCell ref="B1499:B1500"/>
    <mergeCell ref="B1463:B1464"/>
    <mergeCell ref="B1465:B1466"/>
    <mergeCell ref="B1467:B1468"/>
    <mergeCell ref="B1469:B1470"/>
    <mergeCell ref="B1471:B1472"/>
    <mergeCell ref="B1473:B1474"/>
    <mergeCell ref="B1475:B1476"/>
    <mergeCell ref="B1477:B1480"/>
    <mergeCell ref="B1481:B1482"/>
    <mergeCell ref="B1445:B1446"/>
    <mergeCell ref="B1447:B1448"/>
    <mergeCell ref="B1449:B1450"/>
    <mergeCell ref="B1451:B1452"/>
    <mergeCell ref="B1453:B1454"/>
    <mergeCell ref="B1455:B1456"/>
    <mergeCell ref="B1457:B1458"/>
    <mergeCell ref="B1459:B1460"/>
    <mergeCell ref="B1461:B1462"/>
    <mergeCell ref="B1403:B1408"/>
    <mergeCell ref="B1409:B1414"/>
    <mergeCell ref="B1415:B1420"/>
    <mergeCell ref="B1421:B1426"/>
    <mergeCell ref="B1427:B1432"/>
    <mergeCell ref="B1433:B1438"/>
    <mergeCell ref="B1439:B1440"/>
    <mergeCell ref="B1441:B1442"/>
    <mergeCell ref="B1443:B1444"/>
    <mergeCell ref="B1349:B1354"/>
    <mergeCell ref="B1355:B1360"/>
    <mergeCell ref="B1361:B1366"/>
    <mergeCell ref="B1367:B1372"/>
    <mergeCell ref="B1373:B1378"/>
    <mergeCell ref="B1379:B1384"/>
    <mergeCell ref="B1385:B1390"/>
    <mergeCell ref="B1391:B1396"/>
    <mergeCell ref="B1397:B1402"/>
    <mergeCell ref="B1323:B1324"/>
    <mergeCell ref="B1325:B1326"/>
    <mergeCell ref="B1327:B1328"/>
    <mergeCell ref="B1329:B1330"/>
    <mergeCell ref="B1331:B1332"/>
    <mergeCell ref="B1333:B1334"/>
    <mergeCell ref="B1335:B1336"/>
    <mergeCell ref="B1337:B1342"/>
    <mergeCell ref="B1343:B1348"/>
    <mergeCell ref="B1305:B1306"/>
    <mergeCell ref="B1307:B1308"/>
    <mergeCell ref="B1309:B1310"/>
    <mergeCell ref="B1311:B1312"/>
    <mergeCell ref="B1313:B1314"/>
    <mergeCell ref="B1315:B1316"/>
    <mergeCell ref="B1317:B1318"/>
    <mergeCell ref="B1319:B1320"/>
    <mergeCell ref="B1321:B1322"/>
    <mergeCell ref="B1287:B1288"/>
    <mergeCell ref="B1289:B1290"/>
    <mergeCell ref="B1291:B1292"/>
    <mergeCell ref="B1293:B1294"/>
    <mergeCell ref="B1295:B1296"/>
    <mergeCell ref="B1297:B1298"/>
    <mergeCell ref="B1299:B1300"/>
    <mergeCell ref="B1301:B1302"/>
    <mergeCell ref="B1303:B1304"/>
    <mergeCell ref="B1146:B1158"/>
    <mergeCell ref="B1159:B1171"/>
    <mergeCell ref="B1172:B1184"/>
    <mergeCell ref="B1185:B1197"/>
    <mergeCell ref="B1198:B1210"/>
    <mergeCell ref="B1211:B1223"/>
    <mergeCell ref="B1224:B1279"/>
    <mergeCell ref="B1280:B1284"/>
    <mergeCell ref="B1285:B1286"/>
    <mergeCell ref="B1029:B1041"/>
    <mergeCell ref="B1042:B1054"/>
    <mergeCell ref="B1055:B1067"/>
    <mergeCell ref="B1068:B1080"/>
    <mergeCell ref="B1081:B1093"/>
    <mergeCell ref="B1094:B1106"/>
    <mergeCell ref="B1107:B1119"/>
    <mergeCell ref="B1120:B1132"/>
    <mergeCell ref="B1133:B1145"/>
    <mergeCell ref="B912:B924"/>
    <mergeCell ref="B925:B937"/>
    <mergeCell ref="B938:B950"/>
    <mergeCell ref="B951:B963"/>
    <mergeCell ref="B964:B976"/>
    <mergeCell ref="B977:B989"/>
    <mergeCell ref="B990:B1002"/>
    <mergeCell ref="B1003:B1015"/>
    <mergeCell ref="B1016:B1028"/>
    <mergeCell ref="B795:B807"/>
    <mergeCell ref="B808:B820"/>
    <mergeCell ref="B821:B833"/>
    <mergeCell ref="B834:B846"/>
    <mergeCell ref="B847:B859"/>
    <mergeCell ref="B860:B872"/>
    <mergeCell ref="B873:B885"/>
    <mergeCell ref="B886:B898"/>
    <mergeCell ref="B899:B911"/>
    <mergeCell ref="B678:B690"/>
    <mergeCell ref="B691:B703"/>
    <mergeCell ref="B704:B716"/>
    <mergeCell ref="B717:B729"/>
    <mergeCell ref="B730:B742"/>
    <mergeCell ref="B743:B755"/>
    <mergeCell ref="B756:B768"/>
    <mergeCell ref="B769:B781"/>
    <mergeCell ref="B782:B794"/>
    <mergeCell ref="B561:B573"/>
    <mergeCell ref="B574:B586"/>
    <mergeCell ref="B587:B599"/>
    <mergeCell ref="B600:B612"/>
    <mergeCell ref="B613:B625"/>
    <mergeCell ref="B626:B638"/>
    <mergeCell ref="B639:B651"/>
    <mergeCell ref="B652:B664"/>
    <mergeCell ref="B665:B677"/>
    <mergeCell ref="B472:B475"/>
    <mergeCell ref="B476:B479"/>
    <mergeCell ref="B480:B483"/>
    <mergeCell ref="B484:B495"/>
    <mergeCell ref="B496:B508"/>
    <mergeCell ref="B509:B521"/>
    <mergeCell ref="B522:B534"/>
    <mergeCell ref="B535:B547"/>
    <mergeCell ref="B548:B560"/>
    <mergeCell ref="B436:B439"/>
    <mergeCell ref="B440:B443"/>
    <mergeCell ref="B444:B447"/>
    <mergeCell ref="B448:B451"/>
    <mergeCell ref="B452:B455"/>
    <mergeCell ref="B456:B459"/>
    <mergeCell ref="B460:B463"/>
    <mergeCell ref="B464:B467"/>
    <mergeCell ref="B468:B471"/>
    <mergeCell ref="B400:B403"/>
    <mergeCell ref="B404:B407"/>
    <mergeCell ref="B408:B411"/>
    <mergeCell ref="B412:B415"/>
    <mergeCell ref="B416:B419"/>
    <mergeCell ref="B420:B423"/>
    <mergeCell ref="B424:B427"/>
    <mergeCell ref="B428:B431"/>
    <mergeCell ref="B432:B435"/>
    <mergeCell ref="B364:B367"/>
    <mergeCell ref="B368:B371"/>
    <mergeCell ref="B372:B375"/>
    <mergeCell ref="B376:B379"/>
    <mergeCell ref="B380:B383"/>
    <mergeCell ref="B384:B387"/>
    <mergeCell ref="B388:B391"/>
    <mergeCell ref="B392:B395"/>
    <mergeCell ref="B396:B399"/>
    <mergeCell ref="B328:B331"/>
    <mergeCell ref="B332:B335"/>
    <mergeCell ref="B336:B339"/>
    <mergeCell ref="B340:B343"/>
    <mergeCell ref="B344:B347"/>
    <mergeCell ref="B348:B351"/>
    <mergeCell ref="B352:B355"/>
    <mergeCell ref="B356:B359"/>
    <mergeCell ref="B360:B363"/>
    <mergeCell ref="B292:B295"/>
    <mergeCell ref="B296:B299"/>
    <mergeCell ref="B300:B303"/>
    <mergeCell ref="B304:B307"/>
    <mergeCell ref="B308:B311"/>
    <mergeCell ref="B312:B315"/>
    <mergeCell ref="B316:B319"/>
    <mergeCell ref="B320:B323"/>
    <mergeCell ref="B324:B327"/>
    <mergeCell ref="B257:B259"/>
    <mergeCell ref="B260:B263"/>
    <mergeCell ref="B264:B267"/>
    <mergeCell ref="B268:B271"/>
    <mergeCell ref="B272:B275"/>
    <mergeCell ref="B276:B279"/>
    <mergeCell ref="B280:B283"/>
    <mergeCell ref="B284:B287"/>
    <mergeCell ref="B288:B291"/>
    <mergeCell ref="B230:B232"/>
    <mergeCell ref="B233:B235"/>
    <mergeCell ref="B236:B238"/>
    <mergeCell ref="B239:B241"/>
    <mergeCell ref="B242:B244"/>
    <mergeCell ref="B245:B247"/>
    <mergeCell ref="B248:B250"/>
    <mergeCell ref="B251:B253"/>
    <mergeCell ref="B254:B256"/>
    <mergeCell ref="B203:B205"/>
    <mergeCell ref="B206:B208"/>
    <mergeCell ref="B209:B211"/>
    <mergeCell ref="B212:B214"/>
    <mergeCell ref="B215:B217"/>
    <mergeCell ref="B218:B220"/>
    <mergeCell ref="B221:B223"/>
    <mergeCell ref="B224:B226"/>
    <mergeCell ref="B227:B229"/>
    <mergeCell ref="B176:B178"/>
    <mergeCell ref="B179:B181"/>
    <mergeCell ref="B182:B184"/>
    <mergeCell ref="B185:B187"/>
    <mergeCell ref="B188:B190"/>
    <mergeCell ref="B191:B193"/>
    <mergeCell ref="B194:B196"/>
    <mergeCell ref="B197:B199"/>
    <mergeCell ref="B200:B202"/>
    <mergeCell ref="B149:B151"/>
    <mergeCell ref="B152:B154"/>
    <mergeCell ref="B155:B157"/>
    <mergeCell ref="B158:B160"/>
    <mergeCell ref="B161:B163"/>
    <mergeCell ref="B164:B166"/>
    <mergeCell ref="B167:B169"/>
    <mergeCell ref="B170:B172"/>
    <mergeCell ref="B173:B175"/>
    <mergeCell ref="B122:B124"/>
    <mergeCell ref="B125:B127"/>
    <mergeCell ref="B128:B130"/>
    <mergeCell ref="B131:B133"/>
    <mergeCell ref="B134:B136"/>
    <mergeCell ref="B137:B139"/>
    <mergeCell ref="B140:B142"/>
    <mergeCell ref="B143:B145"/>
    <mergeCell ref="B146:B148"/>
    <mergeCell ref="A2530:A2534"/>
    <mergeCell ref="B2:B4"/>
    <mergeCell ref="B5:B11"/>
    <mergeCell ref="B12:B22"/>
    <mergeCell ref="B23:B24"/>
    <mergeCell ref="B25:B33"/>
    <mergeCell ref="B34:B35"/>
    <mergeCell ref="B36:B47"/>
    <mergeCell ref="B48:B54"/>
    <mergeCell ref="B55:B81"/>
    <mergeCell ref="B82:B85"/>
    <mergeCell ref="B86:B87"/>
    <mergeCell ref="B88:B89"/>
    <mergeCell ref="B90:B91"/>
    <mergeCell ref="B92:B94"/>
    <mergeCell ref="B95:B97"/>
    <mergeCell ref="B98:B100"/>
    <mergeCell ref="B101:B103"/>
    <mergeCell ref="B104:B106"/>
    <mergeCell ref="B107:B109"/>
    <mergeCell ref="B110:B112"/>
    <mergeCell ref="B113:B115"/>
    <mergeCell ref="B116:B118"/>
    <mergeCell ref="B119:B121"/>
    <mergeCell ref="A2355:A2357"/>
    <mergeCell ref="A2358:A2361"/>
    <mergeCell ref="A2362:A2376"/>
    <mergeCell ref="A2377:A2379"/>
    <mergeCell ref="A2380:A2506"/>
    <mergeCell ref="A2507:A2513"/>
    <mergeCell ref="A2514:A2519"/>
    <mergeCell ref="A2520:A2526"/>
    <mergeCell ref="A2527:A2529"/>
    <mergeCell ref="A2328:A2330"/>
    <mergeCell ref="A2331:A2333"/>
    <mergeCell ref="A2334:A2336"/>
    <mergeCell ref="A2337:A2339"/>
    <mergeCell ref="A2340:A2342"/>
    <mergeCell ref="A2343:A2345"/>
    <mergeCell ref="A2346:A2348"/>
    <mergeCell ref="A2349:A2351"/>
    <mergeCell ref="A2352:A2354"/>
    <mergeCell ref="A2297:A2300"/>
    <mergeCell ref="A2301:A2304"/>
    <mergeCell ref="A2305:A2309"/>
    <mergeCell ref="A2310:A2312"/>
    <mergeCell ref="A2313:A2315"/>
    <mergeCell ref="A2316:A2318"/>
    <mergeCell ref="A2319:A2321"/>
    <mergeCell ref="A2322:A2324"/>
    <mergeCell ref="A2325:A2327"/>
    <mergeCell ref="A2256:A2259"/>
    <mergeCell ref="A2260:A2263"/>
    <mergeCell ref="A2264:A2267"/>
    <mergeCell ref="A2268:A2271"/>
    <mergeCell ref="A2272:A2275"/>
    <mergeCell ref="A2276:A2286"/>
    <mergeCell ref="A2287:A2288"/>
    <mergeCell ref="A2289:A2292"/>
    <mergeCell ref="A2293:A2296"/>
    <mergeCell ref="A2220:A2223"/>
    <mergeCell ref="A2224:A2227"/>
    <mergeCell ref="A2228:A2231"/>
    <mergeCell ref="A2232:A2235"/>
    <mergeCell ref="A2236:A2239"/>
    <mergeCell ref="A2240:A2243"/>
    <mergeCell ref="A2244:A2247"/>
    <mergeCell ref="A2248:A2251"/>
    <mergeCell ref="A2252:A2255"/>
    <mergeCell ref="A2184:A2187"/>
    <mergeCell ref="A2188:A2191"/>
    <mergeCell ref="A2192:A2195"/>
    <mergeCell ref="A2196:A2199"/>
    <mergeCell ref="A2200:A2203"/>
    <mergeCell ref="A2204:A2207"/>
    <mergeCell ref="A2208:A2211"/>
    <mergeCell ref="A2212:A2215"/>
    <mergeCell ref="A2216:A2219"/>
    <mergeCell ref="A2148:A2151"/>
    <mergeCell ref="A2152:A2155"/>
    <mergeCell ref="A2156:A2159"/>
    <mergeCell ref="A2160:A2163"/>
    <mergeCell ref="A2164:A2167"/>
    <mergeCell ref="A2168:A2171"/>
    <mergeCell ref="A2172:A2175"/>
    <mergeCell ref="A2176:A2179"/>
    <mergeCell ref="A2180:A2183"/>
    <mergeCell ref="A2110:A2115"/>
    <mergeCell ref="A2116:A2119"/>
    <mergeCell ref="A2120:A2123"/>
    <mergeCell ref="A2124:A2127"/>
    <mergeCell ref="A2128:A2131"/>
    <mergeCell ref="A2132:A2135"/>
    <mergeCell ref="A2136:A2139"/>
    <mergeCell ref="A2140:A2143"/>
    <mergeCell ref="A2144:A2147"/>
    <mergeCell ref="A2056:A2061"/>
    <mergeCell ref="A2062:A2067"/>
    <mergeCell ref="A2068:A2073"/>
    <mergeCell ref="A2074:A2079"/>
    <mergeCell ref="A2080:A2085"/>
    <mergeCell ref="A2086:A2091"/>
    <mergeCell ref="A2092:A2097"/>
    <mergeCell ref="A2098:A2103"/>
    <mergeCell ref="A2104:A2109"/>
    <mergeCell ref="A2002:A2007"/>
    <mergeCell ref="A2008:A2013"/>
    <mergeCell ref="A2014:A2019"/>
    <mergeCell ref="A2020:A2025"/>
    <mergeCell ref="A2026:A2031"/>
    <mergeCell ref="A2032:A2037"/>
    <mergeCell ref="A2038:A2043"/>
    <mergeCell ref="A2044:A2049"/>
    <mergeCell ref="A2050:A2055"/>
    <mergeCell ref="A1948:A1953"/>
    <mergeCell ref="A1954:A1959"/>
    <mergeCell ref="A1960:A1965"/>
    <mergeCell ref="A1966:A1971"/>
    <mergeCell ref="A1972:A1977"/>
    <mergeCell ref="A1978:A1983"/>
    <mergeCell ref="A1984:A1989"/>
    <mergeCell ref="A1990:A1995"/>
    <mergeCell ref="A1996:A2001"/>
    <mergeCell ref="A1894:A1899"/>
    <mergeCell ref="A1900:A1905"/>
    <mergeCell ref="A1906:A1911"/>
    <mergeCell ref="A1912:A1917"/>
    <mergeCell ref="A1918:A1923"/>
    <mergeCell ref="A1924:A1929"/>
    <mergeCell ref="A1930:A1935"/>
    <mergeCell ref="A1936:A1941"/>
    <mergeCell ref="A1942:A1947"/>
    <mergeCell ref="A1840:A1845"/>
    <mergeCell ref="A1846:A1851"/>
    <mergeCell ref="A1852:A1857"/>
    <mergeCell ref="A1858:A1863"/>
    <mergeCell ref="A1864:A1869"/>
    <mergeCell ref="A1870:A1875"/>
    <mergeCell ref="A1876:A1881"/>
    <mergeCell ref="A1882:A1887"/>
    <mergeCell ref="A1888:A1893"/>
    <mergeCell ref="A1786:A1791"/>
    <mergeCell ref="A1792:A1797"/>
    <mergeCell ref="A1798:A1803"/>
    <mergeCell ref="A1804:A1809"/>
    <mergeCell ref="A1810:A1815"/>
    <mergeCell ref="A1816:A1821"/>
    <mergeCell ref="A1822:A1827"/>
    <mergeCell ref="A1828:A1833"/>
    <mergeCell ref="A1834:A1839"/>
    <mergeCell ref="A1732:A1737"/>
    <mergeCell ref="A1738:A1743"/>
    <mergeCell ref="A1744:A1749"/>
    <mergeCell ref="A1750:A1755"/>
    <mergeCell ref="A1756:A1761"/>
    <mergeCell ref="A1762:A1767"/>
    <mergeCell ref="A1768:A1773"/>
    <mergeCell ref="A1774:A1779"/>
    <mergeCell ref="A1780:A1785"/>
    <mergeCell ref="A1678:A1683"/>
    <mergeCell ref="A1684:A1689"/>
    <mergeCell ref="A1690:A1695"/>
    <mergeCell ref="A1696:A1701"/>
    <mergeCell ref="A1702:A1707"/>
    <mergeCell ref="A1708:A1713"/>
    <mergeCell ref="A1714:A1719"/>
    <mergeCell ref="A1720:A1725"/>
    <mergeCell ref="A1726:A1731"/>
    <mergeCell ref="A1624:A1629"/>
    <mergeCell ref="A1630:A1635"/>
    <mergeCell ref="A1636:A1641"/>
    <mergeCell ref="A1642:A1647"/>
    <mergeCell ref="A1648:A1653"/>
    <mergeCell ref="A1654:A1659"/>
    <mergeCell ref="A1660:A1665"/>
    <mergeCell ref="A1666:A1671"/>
    <mergeCell ref="A1672:A1677"/>
    <mergeCell ref="A1574:A1575"/>
    <mergeCell ref="A1576:A1581"/>
    <mergeCell ref="A1582:A1587"/>
    <mergeCell ref="A1588:A1593"/>
    <mergeCell ref="A1594:A1599"/>
    <mergeCell ref="A1600:A1605"/>
    <mergeCell ref="A1606:A1611"/>
    <mergeCell ref="A1612:A1617"/>
    <mergeCell ref="A1618:A1623"/>
    <mergeCell ref="A1556:A1557"/>
    <mergeCell ref="A1558:A1559"/>
    <mergeCell ref="A1560:A1561"/>
    <mergeCell ref="A1562:A1563"/>
    <mergeCell ref="A1564:A1565"/>
    <mergeCell ref="A1566:A1567"/>
    <mergeCell ref="A1568:A1569"/>
    <mergeCell ref="A1570:A1571"/>
    <mergeCell ref="A1572:A1573"/>
    <mergeCell ref="A1537:A1539"/>
    <mergeCell ref="A1540:A1541"/>
    <mergeCell ref="A1542:A1543"/>
    <mergeCell ref="A1544:A1545"/>
    <mergeCell ref="A1546:A1547"/>
    <mergeCell ref="A1548:A1549"/>
    <mergeCell ref="A1550:A1551"/>
    <mergeCell ref="A1552:A1553"/>
    <mergeCell ref="A1554:A1555"/>
    <mergeCell ref="A1510:A1512"/>
    <mergeCell ref="A1513:A1515"/>
    <mergeCell ref="A1516:A1518"/>
    <mergeCell ref="A1519:A1521"/>
    <mergeCell ref="A1522:A1524"/>
    <mergeCell ref="A1525:A1527"/>
    <mergeCell ref="A1528:A1530"/>
    <mergeCell ref="A1531:A1533"/>
    <mergeCell ref="A1534:A1536"/>
    <mergeCell ref="A1491:A1492"/>
    <mergeCell ref="A1493:A1494"/>
    <mergeCell ref="A1495:A1496"/>
    <mergeCell ref="A1497:A1498"/>
    <mergeCell ref="A1499:A1500"/>
    <mergeCell ref="A1501:A1502"/>
    <mergeCell ref="A1503:A1504"/>
    <mergeCell ref="A1505:A1506"/>
    <mergeCell ref="A1507:A1509"/>
    <mergeCell ref="A1471:A1472"/>
    <mergeCell ref="A1473:A1474"/>
    <mergeCell ref="A1475:A1476"/>
    <mergeCell ref="A1477:A1480"/>
    <mergeCell ref="A1481:A1482"/>
    <mergeCell ref="A1483:A1484"/>
    <mergeCell ref="A1485:A1486"/>
    <mergeCell ref="A1487:A1488"/>
    <mergeCell ref="A1489:A1490"/>
    <mergeCell ref="A1453:A1454"/>
    <mergeCell ref="A1455:A1456"/>
    <mergeCell ref="A1457:A1458"/>
    <mergeCell ref="A1459:A1460"/>
    <mergeCell ref="A1461:A1462"/>
    <mergeCell ref="A1463:A1464"/>
    <mergeCell ref="A1465:A1466"/>
    <mergeCell ref="A1467:A1468"/>
    <mergeCell ref="A1469:A1470"/>
    <mergeCell ref="A1427:A1432"/>
    <mergeCell ref="A1433:A1438"/>
    <mergeCell ref="A1439:A1440"/>
    <mergeCell ref="A1441:A1442"/>
    <mergeCell ref="A1443:A1444"/>
    <mergeCell ref="A1445:A1446"/>
    <mergeCell ref="A1447:A1448"/>
    <mergeCell ref="A1449:A1450"/>
    <mergeCell ref="A1451:A1452"/>
    <mergeCell ref="A1373:A1378"/>
    <mergeCell ref="A1379:A1384"/>
    <mergeCell ref="A1385:A1390"/>
    <mergeCell ref="A1391:A1396"/>
    <mergeCell ref="A1397:A1402"/>
    <mergeCell ref="A1403:A1408"/>
    <mergeCell ref="A1409:A1414"/>
    <mergeCell ref="A1415:A1420"/>
    <mergeCell ref="A1421:A1426"/>
    <mergeCell ref="A1331:A1332"/>
    <mergeCell ref="A1333:A1334"/>
    <mergeCell ref="A1335:A1336"/>
    <mergeCell ref="A1337:A1342"/>
    <mergeCell ref="A1343:A1348"/>
    <mergeCell ref="A1349:A1354"/>
    <mergeCell ref="A1355:A1360"/>
    <mergeCell ref="A1361:A1366"/>
    <mergeCell ref="A1367:A1372"/>
    <mergeCell ref="A1313:A1314"/>
    <mergeCell ref="A1315:A1316"/>
    <mergeCell ref="A1317:A1318"/>
    <mergeCell ref="A1319:A1320"/>
    <mergeCell ref="A1321:A1322"/>
    <mergeCell ref="A1323:A1324"/>
    <mergeCell ref="A1325:A1326"/>
    <mergeCell ref="A1327:A1328"/>
    <mergeCell ref="A1329:A1330"/>
    <mergeCell ref="A1295:A1296"/>
    <mergeCell ref="A1297:A1298"/>
    <mergeCell ref="A1299:A1300"/>
    <mergeCell ref="A1301:A1302"/>
    <mergeCell ref="A1303:A1304"/>
    <mergeCell ref="A1305:A1306"/>
    <mergeCell ref="A1307:A1308"/>
    <mergeCell ref="A1309:A1310"/>
    <mergeCell ref="A1311:A1312"/>
    <mergeCell ref="A1198:A1210"/>
    <mergeCell ref="A1211:A1223"/>
    <mergeCell ref="A1224:A1279"/>
    <mergeCell ref="A1280:A1284"/>
    <mergeCell ref="A1285:A1286"/>
    <mergeCell ref="A1287:A1288"/>
    <mergeCell ref="A1289:A1290"/>
    <mergeCell ref="A1291:A1292"/>
    <mergeCell ref="A1293:A1294"/>
    <mergeCell ref="A1081:A1093"/>
    <mergeCell ref="A1094:A1106"/>
    <mergeCell ref="A1107:A1119"/>
    <mergeCell ref="A1120:A1132"/>
    <mergeCell ref="A1133:A1145"/>
    <mergeCell ref="A1146:A1158"/>
    <mergeCell ref="A1159:A1171"/>
    <mergeCell ref="A1172:A1184"/>
    <mergeCell ref="A1185:A1197"/>
    <mergeCell ref="A964:A976"/>
    <mergeCell ref="A977:A989"/>
    <mergeCell ref="A990:A1002"/>
    <mergeCell ref="A1003:A1015"/>
    <mergeCell ref="A1016:A1028"/>
    <mergeCell ref="A1029:A1041"/>
    <mergeCell ref="A1042:A1054"/>
    <mergeCell ref="A1055:A1067"/>
    <mergeCell ref="A1068:A1080"/>
    <mergeCell ref="A847:A859"/>
    <mergeCell ref="A860:A872"/>
    <mergeCell ref="A873:A885"/>
    <mergeCell ref="A886:A898"/>
    <mergeCell ref="A899:A911"/>
    <mergeCell ref="A912:A924"/>
    <mergeCell ref="A925:A937"/>
    <mergeCell ref="A938:A950"/>
    <mergeCell ref="A951:A963"/>
    <mergeCell ref="A730:A742"/>
    <mergeCell ref="A743:A755"/>
    <mergeCell ref="A756:A768"/>
    <mergeCell ref="A769:A781"/>
    <mergeCell ref="A782:A794"/>
    <mergeCell ref="A795:A807"/>
    <mergeCell ref="A808:A820"/>
    <mergeCell ref="A821:A833"/>
    <mergeCell ref="A834:A846"/>
    <mergeCell ref="A613:A625"/>
    <mergeCell ref="A626:A638"/>
    <mergeCell ref="A639:A651"/>
    <mergeCell ref="A652:A664"/>
    <mergeCell ref="A665:A677"/>
    <mergeCell ref="A678:A690"/>
    <mergeCell ref="A691:A703"/>
    <mergeCell ref="A704:A716"/>
    <mergeCell ref="A717:A729"/>
    <mergeCell ref="A496:A508"/>
    <mergeCell ref="A509:A521"/>
    <mergeCell ref="A522:A534"/>
    <mergeCell ref="A535:A547"/>
    <mergeCell ref="A548:A560"/>
    <mergeCell ref="A561:A573"/>
    <mergeCell ref="A574:A586"/>
    <mergeCell ref="A587:A599"/>
    <mergeCell ref="A600:A612"/>
    <mergeCell ref="A452:A455"/>
    <mergeCell ref="A456:A459"/>
    <mergeCell ref="A460:A463"/>
    <mergeCell ref="A464:A467"/>
    <mergeCell ref="A468:A471"/>
    <mergeCell ref="A472:A475"/>
    <mergeCell ref="A476:A479"/>
    <mergeCell ref="A480:A483"/>
    <mergeCell ref="A484:A495"/>
    <mergeCell ref="A416:A419"/>
    <mergeCell ref="A420:A423"/>
    <mergeCell ref="A424:A427"/>
    <mergeCell ref="A428:A431"/>
    <mergeCell ref="A432:A435"/>
    <mergeCell ref="A436:A439"/>
    <mergeCell ref="A440:A443"/>
    <mergeCell ref="A444:A447"/>
    <mergeCell ref="A448:A451"/>
    <mergeCell ref="A380:A383"/>
    <mergeCell ref="A384:A387"/>
    <mergeCell ref="A388:A391"/>
    <mergeCell ref="A392:A395"/>
    <mergeCell ref="A396:A399"/>
    <mergeCell ref="A400:A403"/>
    <mergeCell ref="A404:A407"/>
    <mergeCell ref="A408:A411"/>
    <mergeCell ref="A412:A415"/>
    <mergeCell ref="A344:A347"/>
    <mergeCell ref="A348:A351"/>
    <mergeCell ref="A352:A355"/>
    <mergeCell ref="A356:A359"/>
    <mergeCell ref="A360:A363"/>
    <mergeCell ref="A364:A367"/>
    <mergeCell ref="A368:A371"/>
    <mergeCell ref="A372:A375"/>
    <mergeCell ref="A376:A379"/>
    <mergeCell ref="A308:A311"/>
    <mergeCell ref="A312:A315"/>
    <mergeCell ref="A316:A319"/>
    <mergeCell ref="A320:A323"/>
    <mergeCell ref="A324:A327"/>
    <mergeCell ref="A328:A331"/>
    <mergeCell ref="A332:A335"/>
    <mergeCell ref="A336:A339"/>
    <mergeCell ref="A340:A343"/>
    <mergeCell ref="A272:A275"/>
    <mergeCell ref="A276:A279"/>
    <mergeCell ref="A280:A283"/>
    <mergeCell ref="A284:A287"/>
    <mergeCell ref="A288:A291"/>
    <mergeCell ref="A292:A295"/>
    <mergeCell ref="A296:A299"/>
    <mergeCell ref="A300:A303"/>
    <mergeCell ref="A304:A307"/>
    <mergeCell ref="A242:A244"/>
    <mergeCell ref="A245:A247"/>
    <mergeCell ref="A248:A250"/>
    <mergeCell ref="A251:A253"/>
    <mergeCell ref="A254:A256"/>
    <mergeCell ref="A257:A259"/>
    <mergeCell ref="A260:A263"/>
    <mergeCell ref="A264:A267"/>
    <mergeCell ref="A268:A271"/>
    <mergeCell ref="A215:A217"/>
    <mergeCell ref="A218:A220"/>
    <mergeCell ref="A221:A223"/>
    <mergeCell ref="A224:A226"/>
    <mergeCell ref="A227:A229"/>
    <mergeCell ref="A230:A232"/>
    <mergeCell ref="A233:A235"/>
    <mergeCell ref="A236:A238"/>
    <mergeCell ref="A239:A241"/>
    <mergeCell ref="A188:A190"/>
    <mergeCell ref="A191:A193"/>
    <mergeCell ref="A194:A196"/>
    <mergeCell ref="A197:A199"/>
    <mergeCell ref="A200:A202"/>
    <mergeCell ref="A203:A205"/>
    <mergeCell ref="A206:A208"/>
    <mergeCell ref="A209:A211"/>
    <mergeCell ref="A212:A214"/>
    <mergeCell ref="A161:A163"/>
    <mergeCell ref="A164:A166"/>
    <mergeCell ref="A167:A169"/>
    <mergeCell ref="A170:A172"/>
    <mergeCell ref="A173:A175"/>
    <mergeCell ref="A176:A178"/>
    <mergeCell ref="A179:A181"/>
    <mergeCell ref="A182:A184"/>
    <mergeCell ref="A185:A187"/>
    <mergeCell ref="A134:A136"/>
    <mergeCell ref="A137:A139"/>
    <mergeCell ref="A140:A142"/>
    <mergeCell ref="A143:A145"/>
    <mergeCell ref="A146:A148"/>
    <mergeCell ref="A149:A151"/>
    <mergeCell ref="A152:A154"/>
    <mergeCell ref="A155:A157"/>
    <mergeCell ref="A158:A160"/>
    <mergeCell ref="A107:A109"/>
    <mergeCell ref="A110:A112"/>
    <mergeCell ref="A113:A115"/>
    <mergeCell ref="A116:A118"/>
    <mergeCell ref="A119:A121"/>
    <mergeCell ref="A122:A124"/>
    <mergeCell ref="A125:A127"/>
    <mergeCell ref="A128:A130"/>
    <mergeCell ref="A131:A133"/>
    <mergeCell ref="A82:A85"/>
    <mergeCell ref="A86:A87"/>
    <mergeCell ref="A88:A89"/>
    <mergeCell ref="A90:A91"/>
    <mergeCell ref="A92:A94"/>
    <mergeCell ref="A95:A97"/>
    <mergeCell ref="A98:A100"/>
    <mergeCell ref="A101:A103"/>
    <mergeCell ref="A104:A106"/>
    <mergeCell ref="A2:A4"/>
    <mergeCell ref="A5:A11"/>
    <mergeCell ref="A12:A22"/>
    <mergeCell ref="A23:A24"/>
    <mergeCell ref="A25:A33"/>
    <mergeCell ref="A34:A35"/>
    <mergeCell ref="A36:A47"/>
    <mergeCell ref="A48:A54"/>
    <mergeCell ref="A55:A81"/>
    <mergeCell ref="C2507:C2513"/>
    <mergeCell ref="C2514:C2519"/>
    <mergeCell ref="C2520:C2526"/>
    <mergeCell ref="C2527:C2529"/>
    <mergeCell ref="C2530:C2534"/>
    <mergeCell ref="C2352:C2354"/>
    <mergeCell ref="C2355:C2357"/>
    <mergeCell ref="C2358:C2361"/>
    <mergeCell ref="C2362:C2376"/>
    <mergeCell ref="C2377:C2379"/>
    <mergeCell ref="C2380:C2506"/>
    <mergeCell ref="C2334:C2336"/>
    <mergeCell ref="C2337:C2339"/>
    <mergeCell ref="C2340:C2342"/>
    <mergeCell ref="C2343:C2345"/>
    <mergeCell ref="C2346:C2348"/>
    <mergeCell ref="C2349:C2351"/>
    <mergeCell ref="C2316:C2318"/>
    <mergeCell ref="C2319:C2321"/>
    <mergeCell ref="C2322:C2324"/>
    <mergeCell ref="C2325:C2327"/>
    <mergeCell ref="C2328:C2330"/>
    <mergeCell ref="C2331:C2333"/>
    <mergeCell ref="C2293:C2296"/>
    <mergeCell ref="C2297:C2300"/>
    <mergeCell ref="C2301:C2304"/>
    <mergeCell ref="C2305:C2309"/>
    <mergeCell ref="C2310:C2312"/>
    <mergeCell ref="C2313:C2315"/>
    <mergeCell ref="C2264:C2267"/>
    <mergeCell ref="C2268:C2271"/>
    <mergeCell ref="C2272:C2275"/>
    <mergeCell ref="C2276:C2286"/>
    <mergeCell ref="C2287:C2288"/>
    <mergeCell ref="C2289:C2292"/>
    <mergeCell ref="C2240:C2243"/>
    <mergeCell ref="C2244:C2247"/>
    <mergeCell ref="C2248:C2251"/>
    <mergeCell ref="C2252:C2255"/>
    <mergeCell ref="C2256:C2259"/>
    <mergeCell ref="C2260:C2263"/>
    <mergeCell ref="C2216:C2219"/>
    <mergeCell ref="C2220:C2223"/>
    <mergeCell ref="C2224:C2227"/>
    <mergeCell ref="C2228:C2231"/>
    <mergeCell ref="C2232:C2235"/>
    <mergeCell ref="C2236:C2239"/>
    <mergeCell ref="C2192:C2195"/>
    <mergeCell ref="C2196:C2199"/>
    <mergeCell ref="C2200:C2203"/>
    <mergeCell ref="C2204:C2207"/>
    <mergeCell ref="C2208:C2211"/>
    <mergeCell ref="C2212:C2215"/>
    <mergeCell ref="C2168:C2171"/>
    <mergeCell ref="C2172:C2175"/>
    <mergeCell ref="C2176:C2179"/>
    <mergeCell ref="C2180:C2183"/>
    <mergeCell ref="C2184:C2187"/>
    <mergeCell ref="C2188:C2191"/>
    <mergeCell ref="C2144:C2147"/>
    <mergeCell ref="C2148:C2151"/>
    <mergeCell ref="C2152:C2155"/>
    <mergeCell ref="C2156:C2159"/>
    <mergeCell ref="C2160:C2163"/>
    <mergeCell ref="C2164:C2167"/>
    <mergeCell ref="C2120:C2123"/>
    <mergeCell ref="C2124:C2127"/>
    <mergeCell ref="C2128:C2131"/>
    <mergeCell ref="C2132:C2135"/>
    <mergeCell ref="C2136:C2139"/>
    <mergeCell ref="C2140:C2143"/>
    <mergeCell ref="C2086:C2091"/>
    <mergeCell ref="C2092:C2097"/>
    <mergeCell ref="C2098:C2103"/>
    <mergeCell ref="C2104:C2109"/>
    <mergeCell ref="C2110:C2115"/>
    <mergeCell ref="C2116:C2119"/>
    <mergeCell ref="C2050:C2055"/>
    <mergeCell ref="C2056:C2061"/>
    <mergeCell ref="C2062:C2067"/>
    <mergeCell ref="C2068:C2073"/>
    <mergeCell ref="C2074:C2079"/>
    <mergeCell ref="C2080:C2085"/>
    <mergeCell ref="C2014:C2019"/>
    <mergeCell ref="C2020:C2025"/>
    <mergeCell ref="C2026:C2031"/>
    <mergeCell ref="C2032:C2037"/>
    <mergeCell ref="C2038:C2043"/>
    <mergeCell ref="C2044:C2049"/>
    <mergeCell ref="C1978:C1983"/>
    <mergeCell ref="C1984:C1989"/>
    <mergeCell ref="C1990:C1995"/>
    <mergeCell ref="C1996:C2001"/>
    <mergeCell ref="C2002:C2007"/>
    <mergeCell ref="C2008:C2013"/>
    <mergeCell ref="C1942:C1947"/>
    <mergeCell ref="C1948:C1953"/>
    <mergeCell ref="C1954:C1959"/>
    <mergeCell ref="C1960:C1965"/>
    <mergeCell ref="C1966:C1971"/>
    <mergeCell ref="C1972:C1977"/>
    <mergeCell ref="C1906:C1911"/>
    <mergeCell ref="C1912:C1917"/>
    <mergeCell ref="C1918:C1923"/>
    <mergeCell ref="C1924:C1929"/>
    <mergeCell ref="C1930:C1935"/>
    <mergeCell ref="C1936:C1941"/>
    <mergeCell ref="C1870:C1875"/>
    <mergeCell ref="C1876:C1881"/>
    <mergeCell ref="C1882:C1887"/>
    <mergeCell ref="C1888:C1893"/>
    <mergeCell ref="C1894:C1899"/>
    <mergeCell ref="C1900:C1905"/>
    <mergeCell ref="C1834:C1839"/>
    <mergeCell ref="C1840:C1845"/>
    <mergeCell ref="C1846:C1851"/>
    <mergeCell ref="C1852:C1857"/>
    <mergeCell ref="C1858:C1863"/>
    <mergeCell ref="C1864:C1869"/>
    <mergeCell ref="C1798:C1803"/>
    <mergeCell ref="C1804:C1809"/>
    <mergeCell ref="C1810:C1815"/>
    <mergeCell ref="C1816:C1821"/>
    <mergeCell ref="C1822:C1827"/>
    <mergeCell ref="C1828:C1833"/>
    <mergeCell ref="C1762:C1767"/>
    <mergeCell ref="C1768:C1773"/>
    <mergeCell ref="C1774:C1779"/>
    <mergeCell ref="C1780:C1785"/>
    <mergeCell ref="C1786:C1791"/>
    <mergeCell ref="C1792:C1797"/>
    <mergeCell ref="C1726:C1731"/>
    <mergeCell ref="C1732:C1737"/>
    <mergeCell ref="C1738:C1743"/>
    <mergeCell ref="C1744:C1749"/>
    <mergeCell ref="C1750:C1755"/>
    <mergeCell ref="C1756:C1761"/>
    <mergeCell ref="C1690:C1695"/>
    <mergeCell ref="C1696:C1701"/>
    <mergeCell ref="C1702:C1707"/>
    <mergeCell ref="C1708:C1713"/>
    <mergeCell ref="C1714:C1719"/>
    <mergeCell ref="C1720:C1725"/>
    <mergeCell ref="C1654:C1659"/>
    <mergeCell ref="C1660:C1665"/>
    <mergeCell ref="C1666:C1671"/>
    <mergeCell ref="C1672:C1677"/>
    <mergeCell ref="C1678:C1683"/>
    <mergeCell ref="C1684:C1689"/>
    <mergeCell ref="C1618:C1623"/>
    <mergeCell ref="C1624:C1629"/>
    <mergeCell ref="C1630:C1635"/>
    <mergeCell ref="C1636:C1641"/>
    <mergeCell ref="C1642:C1647"/>
    <mergeCell ref="C1648:C1653"/>
    <mergeCell ref="C1582:C1587"/>
    <mergeCell ref="C1588:C1593"/>
    <mergeCell ref="C1594:C1599"/>
    <mergeCell ref="C1600:C1605"/>
    <mergeCell ref="C1606:C1611"/>
    <mergeCell ref="C1612:C1617"/>
    <mergeCell ref="C1566:C1567"/>
    <mergeCell ref="C1568:C1569"/>
    <mergeCell ref="C1570:C1571"/>
    <mergeCell ref="C1572:C1573"/>
    <mergeCell ref="C1574:C1575"/>
    <mergeCell ref="C1576:C1581"/>
    <mergeCell ref="C1554:C1555"/>
    <mergeCell ref="C1556:C1557"/>
    <mergeCell ref="C1558:C1559"/>
    <mergeCell ref="C1560:C1561"/>
    <mergeCell ref="C1562:C1563"/>
    <mergeCell ref="C1564:C1565"/>
    <mergeCell ref="C1542:C1543"/>
    <mergeCell ref="C1544:C1545"/>
    <mergeCell ref="C1546:C1547"/>
    <mergeCell ref="C1548:C1549"/>
    <mergeCell ref="C1550:C1551"/>
    <mergeCell ref="C1552:C1553"/>
    <mergeCell ref="C1525:C1527"/>
    <mergeCell ref="C1528:C1530"/>
    <mergeCell ref="C1531:C1533"/>
    <mergeCell ref="C1534:C1536"/>
    <mergeCell ref="C1537:C1539"/>
    <mergeCell ref="C1540:C1541"/>
    <mergeCell ref="C1507:C1509"/>
    <mergeCell ref="C1510:C1512"/>
    <mergeCell ref="C1513:C1515"/>
    <mergeCell ref="C1516:C1518"/>
    <mergeCell ref="C1519:C1521"/>
    <mergeCell ref="C1522:C1524"/>
    <mergeCell ref="C1495:C1496"/>
    <mergeCell ref="C1497:C1498"/>
    <mergeCell ref="C1499:C1500"/>
    <mergeCell ref="C1501:C1502"/>
    <mergeCell ref="C1503:C1504"/>
    <mergeCell ref="C1505:C1506"/>
    <mergeCell ref="C1483:C1484"/>
    <mergeCell ref="C1485:C1486"/>
    <mergeCell ref="C1487:C1488"/>
    <mergeCell ref="C1489:C1490"/>
    <mergeCell ref="C1491:C1492"/>
    <mergeCell ref="C1493:C1494"/>
    <mergeCell ref="C1469:C1470"/>
    <mergeCell ref="C1471:C1472"/>
    <mergeCell ref="C1473:C1474"/>
    <mergeCell ref="C1475:C1476"/>
    <mergeCell ref="C1477:C1480"/>
    <mergeCell ref="C1481:C1482"/>
    <mergeCell ref="C1457:C1458"/>
    <mergeCell ref="C1459:C1460"/>
    <mergeCell ref="C1461:C1462"/>
    <mergeCell ref="C1463:C1464"/>
    <mergeCell ref="C1465:C1466"/>
    <mergeCell ref="C1467:C1468"/>
    <mergeCell ref="C1445:C1446"/>
    <mergeCell ref="C1447:C1448"/>
    <mergeCell ref="C1449:C1450"/>
    <mergeCell ref="C1451:C1452"/>
    <mergeCell ref="C1453:C1454"/>
    <mergeCell ref="C1455:C1456"/>
    <mergeCell ref="C1421:C1426"/>
    <mergeCell ref="C1427:C1432"/>
    <mergeCell ref="C1433:C1438"/>
    <mergeCell ref="C1439:C1440"/>
    <mergeCell ref="C1441:C1442"/>
    <mergeCell ref="C1443:C1444"/>
    <mergeCell ref="C1385:C1390"/>
    <mergeCell ref="C1391:C1396"/>
    <mergeCell ref="C1397:C1402"/>
    <mergeCell ref="C1403:C1408"/>
    <mergeCell ref="C1409:C1414"/>
    <mergeCell ref="C1415:C1420"/>
    <mergeCell ref="C1349:C1354"/>
    <mergeCell ref="C1355:C1360"/>
    <mergeCell ref="C1361:C1366"/>
    <mergeCell ref="C1367:C1372"/>
    <mergeCell ref="C1373:C1378"/>
    <mergeCell ref="C1379:C1384"/>
    <mergeCell ref="C1329:C1330"/>
    <mergeCell ref="C1331:C1332"/>
    <mergeCell ref="C1333:C1334"/>
    <mergeCell ref="C1335:C1336"/>
    <mergeCell ref="C1337:C1342"/>
    <mergeCell ref="C1343:C1348"/>
    <mergeCell ref="C1317:C1318"/>
    <mergeCell ref="C1319:C1320"/>
    <mergeCell ref="C1321:C1322"/>
    <mergeCell ref="C1323:C1324"/>
    <mergeCell ref="C1325:C1326"/>
    <mergeCell ref="C1327:C1328"/>
    <mergeCell ref="C1305:C1306"/>
    <mergeCell ref="C1307:C1308"/>
    <mergeCell ref="C1309:C1310"/>
    <mergeCell ref="C1311:C1312"/>
    <mergeCell ref="C1313:C1314"/>
    <mergeCell ref="C1315:C1316"/>
    <mergeCell ref="C1293:C1294"/>
    <mergeCell ref="C1295:C1296"/>
    <mergeCell ref="C1297:C1298"/>
    <mergeCell ref="C1299:C1300"/>
    <mergeCell ref="C1301:C1302"/>
    <mergeCell ref="C1303:C1304"/>
    <mergeCell ref="C1224:C1279"/>
    <mergeCell ref="C1280:C1284"/>
    <mergeCell ref="C1285:C1286"/>
    <mergeCell ref="C1287:C1288"/>
    <mergeCell ref="C1289:C1290"/>
    <mergeCell ref="C1291:C1292"/>
    <mergeCell ref="C1146:C1158"/>
    <mergeCell ref="C1159:C1171"/>
    <mergeCell ref="C1172:C1184"/>
    <mergeCell ref="C1185:C1197"/>
    <mergeCell ref="C1198:C1210"/>
    <mergeCell ref="C1211:C1223"/>
    <mergeCell ref="C1068:C1080"/>
    <mergeCell ref="C1081:C1093"/>
    <mergeCell ref="C1094:C1106"/>
    <mergeCell ref="C1107:C1119"/>
    <mergeCell ref="C1120:C1132"/>
    <mergeCell ref="C1133:C1145"/>
    <mergeCell ref="C990:C1002"/>
    <mergeCell ref="C1003:C1015"/>
    <mergeCell ref="C1016:C1028"/>
    <mergeCell ref="C1029:C1041"/>
    <mergeCell ref="C1042:C1054"/>
    <mergeCell ref="C1055:C1067"/>
    <mergeCell ref="C912:C924"/>
    <mergeCell ref="C925:C937"/>
    <mergeCell ref="C938:C950"/>
    <mergeCell ref="C951:C963"/>
    <mergeCell ref="C964:C976"/>
    <mergeCell ref="C977:C989"/>
    <mergeCell ref="C834:C846"/>
    <mergeCell ref="C847:C859"/>
    <mergeCell ref="C860:C872"/>
    <mergeCell ref="C873:C885"/>
    <mergeCell ref="C886:C898"/>
    <mergeCell ref="C899:C911"/>
    <mergeCell ref="C756:C768"/>
    <mergeCell ref="C769:C781"/>
    <mergeCell ref="C782:C794"/>
    <mergeCell ref="C795:C807"/>
    <mergeCell ref="C808:C820"/>
    <mergeCell ref="C821:C833"/>
    <mergeCell ref="C678:C690"/>
    <mergeCell ref="C691:C703"/>
    <mergeCell ref="C704:C716"/>
    <mergeCell ref="C717:C729"/>
    <mergeCell ref="C730:C742"/>
    <mergeCell ref="C743:C755"/>
    <mergeCell ref="C600:C612"/>
    <mergeCell ref="C613:C625"/>
    <mergeCell ref="C626:C638"/>
    <mergeCell ref="C639:C651"/>
    <mergeCell ref="C652:C664"/>
    <mergeCell ref="C665:C677"/>
    <mergeCell ref="C522:C534"/>
    <mergeCell ref="C535:C547"/>
    <mergeCell ref="C548:C560"/>
    <mergeCell ref="C561:C573"/>
    <mergeCell ref="C574:C586"/>
    <mergeCell ref="C587:C599"/>
    <mergeCell ref="C472:C475"/>
    <mergeCell ref="C476:C479"/>
    <mergeCell ref="C480:C483"/>
    <mergeCell ref="C484:C495"/>
    <mergeCell ref="C496:C508"/>
    <mergeCell ref="C509:C521"/>
    <mergeCell ref="C448:C451"/>
    <mergeCell ref="C452:C455"/>
    <mergeCell ref="C456:C459"/>
    <mergeCell ref="C460:C463"/>
    <mergeCell ref="C464:C467"/>
    <mergeCell ref="C468:C471"/>
    <mergeCell ref="C424:C427"/>
    <mergeCell ref="C428:C431"/>
    <mergeCell ref="C432:C435"/>
    <mergeCell ref="C436:C439"/>
    <mergeCell ref="C440:C443"/>
    <mergeCell ref="C444:C447"/>
    <mergeCell ref="C400:C403"/>
    <mergeCell ref="C404:C407"/>
    <mergeCell ref="C408:C411"/>
    <mergeCell ref="C412:C415"/>
    <mergeCell ref="C416:C419"/>
    <mergeCell ref="C420:C423"/>
    <mergeCell ref="C376:C379"/>
    <mergeCell ref="C380:C383"/>
    <mergeCell ref="C384:C387"/>
    <mergeCell ref="C388:C391"/>
    <mergeCell ref="C392:C395"/>
    <mergeCell ref="C396:C399"/>
    <mergeCell ref="C352:C355"/>
    <mergeCell ref="C356:C359"/>
    <mergeCell ref="C360:C363"/>
    <mergeCell ref="C364:C367"/>
    <mergeCell ref="C368:C371"/>
    <mergeCell ref="C372:C375"/>
    <mergeCell ref="C328:C331"/>
    <mergeCell ref="C332:C335"/>
    <mergeCell ref="C336:C339"/>
    <mergeCell ref="C340:C343"/>
    <mergeCell ref="C344:C347"/>
    <mergeCell ref="C348:C351"/>
    <mergeCell ref="C304:C307"/>
    <mergeCell ref="C308:C311"/>
    <mergeCell ref="C312:C315"/>
    <mergeCell ref="C316:C319"/>
    <mergeCell ref="C320:C323"/>
    <mergeCell ref="C324:C327"/>
    <mergeCell ref="C280:C283"/>
    <mergeCell ref="C284:C287"/>
    <mergeCell ref="C288:C291"/>
    <mergeCell ref="C292:C295"/>
    <mergeCell ref="C296:C299"/>
    <mergeCell ref="C300:C303"/>
    <mergeCell ref="C257:C259"/>
    <mergeCell ref="C260:C263"/>
    <mergeCell ref="C264:C267"/>
    <mergeCell ref="C268:C271"/>
    <mergeCell ref="C272:C275"/>
    <mergeCell ref="C276:C279"/>
    <mergeCell ref="C239:C241"/>
    <mergeCell ref="C242:C244"/>
    <mergeCell ref="C245:C247"/>
    <mergeCell ref="C248:C250"/>
    <mergeCell ref="C251:C253"/>
    <mergeCell ref="C254:C256"/>
    <mergeCell ref="C221:C223"/>
    <mergeCell ref="C224:C226"/>
    <mergeCell ref="C227:C229"/>
    <mergeCell ref="C230:C232"/>
    <mergeCell ref="C233:C235"/>
    <mergeCell ref="C236:C238"/>
    <mergeCell ref="C203:C205"/>
    <mergeCell ref="C206:C208"/>
    <mergeCell ref="C209:C211"/>
    <mergeCell ref="C212:C214"/>
    <mergeCell ref="C215:C217"/>
    <mergeCell ref="C218:C220"/>
    <mergeCell ref="C185:C187"/>
    <mergeCell ref="C188:C190"/>
    <mergeCell ref="C191:C193"/>
    <mergeCell ref="C194:C196"/>
    <mergeCell ref="C197:C199"/>
    <mergeCell ref="C200:C202"/>
    <mergeCell ref="C167:C169"/>
    <mergeCell ref="C170:C172"/>
    <mergeCell ref="C173:C175"/>
    <mergeCell ref="C176:C178"/>
    <mergeCell ref="C179:C181"/>
    <mergeCell ref="C182:C184"/>
    <mergeCell ref="C149:C151"/>
    <mergeCell ref="C152:C154"/>
    <mergeCell ref="C155:C157"/>
    <mergeCell ref="C158:C160"/>
    <mergeCell ref="C161:C163"/>
    <mergeCell ref="C164:C166"/>
    <mergeCell ref="C131:C133"/>
    <mergeCell ref="C134:C136"/>
    <mergeCell ref="C137:C139"/>
    <mergeCell ref="C140:C142"/>
    <mergeCell ref="C143:C145"/>
    <mergeCell ref="C146:C148"/>
    <mergeCell ref="C113:C115"/>
    <mergeCell ref="C116:C118"/>
    <mergeCell ref="C119:C121"/>
    <mergeCell ref="C122:C124"/>
    <mergeCell ref="C125:C127"/>
    <mergeCell ref="C128:C130"/>
    <mergeCell ref="C1:D1"/>
    <mergeCell ref="C2:C4"/>
    <mergeCell ref="C5:C11"/>
    <mergeCell ref="C95:C97"/>
    <mergeCell ref="C98:C100"/>
    <mergeCell ref="C101:C103"/>
    <mergeCell ref="C104:C106"/>
    <mergeCell ref="C107:C109"/>
    <mergeCell ref="C110:C112"/>
    <mergeCell ref="C55:C81"/>
    <mergeCell ref="C82:C85"/>
    <mergeCell ref="C86:C87"/>
    <mergeCell ref="C88:C89"/>
    <mergeCell ref="C90:C91"/>
    <mergeCell ref="C92:C94"/>
    <mergeCell ref="C12:C22"/>
    <mergeCell ref="C23:C24"/>
    <mergeCell ref="C25:C33"/>
    <mergeCell ref="C34:C35"/>
    <mergeCell ref="C36:C47"/>
    <mergeCell ref="C48:C5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BF094976B1C6245BAB5BCECAC284645" ma:contentTypeVersion="17" ma:contentTypeDescription="Create a new document." ma:contentTypeScope="" ma:versionID="3620e9c0d1a16779aea146adda0186f7">
  <xsd:schema xmlns:xsd="http://www.w3.org/2001/XMLSchema" xmlns:xs="http://www.w3.org/2001/XMLSchema" xmlns:p="http://schemas.microsoft.com/office/2006/metadata/properties" xmlns:ns2="69276225-f05c-44c5-92dc-c999460a4149" xmlns:ns3="46f3a809-46a3-44ee-a0f1-42a271529c86" targetNamespace="http://schemas.microsoft.com/office/2006/metadata/properties" ma:root="true" ma:fieldsID="f2afd3ea0446edf26a13b3c7fc9e6232" ns2:_="" ns3:_="">
    <xsd:import namespace="69276225-f05c-44c5-92dc-c999460a4149"/>
    <xsd:import namespace="46f3a809-46a3-44ee-a0f1-42a271529c8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GenerationTime" minOccurs="0"/>
                <xsd:element ref="ns3:MediaServiceEventHashCode" minOccurs="0"/>
                <xsd:element ref="ns3:MediaLengthInSeconds" minOccurs="0"/>
                <xsd:element ref="ns3:MediaServiceDateTaken" minOccurs="0"/>
                <xsd:element ref="ns3:MediaServiceAutoKeyPoints" minOccurs="0"/>
                <xsd:element ref="ns3:MediaServiceKeyPoints" minOccurs="0"/>
                <xsd:element ref="ns3:MediaServiceOCR" minOccurs="0"/>
                <xsd:element ref="ns3:MediaServiceLocation"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276225-f05c-44c5-92dc-c999460a4149"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32d65da7-472f-44c6-be22-218d2da46f49}" ma:internalName="TaxCatchAll" ma:showField="CatchAllData" ma:web="69276225-f05c-44c5-92dc-c999460a414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6f3a809-46a3-44ee-a0f1-42a271529c8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40d4899-0986-466d-9443-4d7b8518a0f2"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DateTaken" ma:index="18" nillable="true" ma:displayName="MediaServiceDateTaken" ma:hidden="true" ma:internalName="MediaServiceDateTake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69276225-f05c-44c5-92dc-c999460a4149" xsi:nil="true"/>
    <lcf76f155ced4ddcb4097134ff3c332f xmlns="46f3a809-46a3-44ee-a0f1-42a271529c86">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BFE7528-99DA-4406-B51C-C3DF19AC78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9276225-f05c-44c5-92dc-c999460a4149"/>
    <ds:schemaRef ds:uri="46f3a809-46a3-44ee-a0f1-42a271529c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12734F1-B470-4120-9B98-E78D4658E8A0}">
  <ds:schemaRefs>
    <ds:schemaRef ds:uri="http://schemas.microsoft.com/office/2006/metadata/properties"/>
    <ds:schemaRef ds:uri="http://schemas.microsoft.com/office/infopath/2007/PartnerControls"/>
    <ds:schemaRef ds:uri="69276225-f05c-44c5-92dc-c999460a4149"/>
    <ds:schemaRef ds:uri="46f3a809-46a3-44ee-a0f1-42a271529c86"/>
  </ds:schemaRefs>
</ds:datastoreItem>
</file>

<file path=customXml/itemProps3.xml><?xml version="1.0" encoding="utf-8"?>
<ds:datastoreItem xmlns:ds="http://schemas.openxmlformats.org/officeDocument/2006/customXml" ds:itemID="{2B081D02-C2F8-4412-A64A-CC611453267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Variable Information</vt:lpstr>
      <vt:lpstr>Variable Values</vt:lpstr>
    </vt:vector>
  </TitlesOfParts>
  <Manager/>
  <Company>IBM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IBM SPSS Export Facility</dc:creator>
  <cp:keywords/>
  <dc:description/>
  <cp:lastModifiedBy>Natalia Rodriguez</cp:lastModifiedBy>
  <cp:revision/>
  <dcterms:created xsi:type="dcterms:W3CDTF">2011-08-01T14:22:18Z</dcterms:created>
  <dcterms:modified xsi:type="dcterms:W3CDTF">2025-10-16T21:31:16Z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0x0101006BF094976B1C6245BAB5BCECAC284645</vt:lpwstr>
  </property>
  <property fmtid="{D5CDD505-2E9C-101B-9397-08002B2CF9AE}" pid="3" name="MediaServiceImageTags">
    <vt:lpwstr/>
  </property>
</Properties>
</file>